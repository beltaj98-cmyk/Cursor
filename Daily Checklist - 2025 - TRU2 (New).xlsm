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2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sebgroup.sharepoint.com/sites/TRUMiFIDSFTRCB/Shared Documents/General/2. Process management/Checklists/2025/W27 - signed/"/>
    </mc:Choice>
  </mc:AlternateContent>
  <xr:revisionPtr revIDLastSave="0" documentId="8_{18E7731F-F389-432B-85B3-F0F0F73A0EFB}" xr6:coauthVersionLast="47" xr6:coauthVersionMax="47" xr10:uidLastSave="{00000000-0000-0000-0000-000000000000}"/>
  <bookViews>
    <workbookView xWindow="-108" yWindow="-108" windowWidth="30936" windowHeight="16776" tabRatio="425" xr2:uid="{545EF751-C335-4E5C-87B7-65F6FE4C684F}"/>
  </bookViews>
  <sheets>
    <sheet name="Crucial Processes &amp; Rotationals" sheetId="1" r:id="rId1"/>
    <sheet name="Sheet1" sheetId="4" state="hidden" r:id="rId2"/>
    <sheet name="MiFID II" sheetId="2" r:id="rId3"/>
    <sheet name="SFTR" sheetId="3"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16" i="3" l="1"/>
  <c r="AQ14" i="3"/>
  <c r="AM29" i="2"/>
  <c r="AQ43" i="1" l="1"/>
  <c r="AQ79" i="2"/>
  <c r="AQ39" i="3"/>
  <c r="AQ54" i="3"/>
  <c r="AQ52" i="3"/>
  <c r="AQ74" i="3"/>
  <c r="AQ72" i="3"/>
  <c r="AQ99" i="3"/>
  <c r="AQ97" i="3"/>
  <c r="AQ92" i="2"/>
  <c r="AQ90" i="2"/>
  <c r="AQ88" i="2"/>
  <c r="AQ73" i="2"/>
  <c r="AU63" i="2"/>
  <c r="AQ83" i="2"/>
  <c r="AQ18" i="1"/>
  <c r="AQ88" i="3"/>
  <c r="AQ78" i="3"/>
  <c r="AQ30" i="3"/>
  <c r="AQ113" i="3"/>
  <c r="AQ103" i="3"/>
  <c r="AQ122" i="3"/>
  <c r="AQ108" i="3"/>
  <c r="AQ83" i="3"/>
  <c r="AQ43" i="3"/>
  <c r="AQ58" i="3"/>
  <c r="AQ63" i="3"/>
  <c r="AQ25" i="3"/>
  <c r="AQ20" i="3"/>
  <c r="AQ67" i="2"/>
  <c r="AU61" i="2"/>
  <c r="AU59" i="2"/>
  <c r="AU57" i="2"/>
  <c r="AU55" i="2"/>
  <c r="AU53" i="2"/>
  <c r="AU51" i="2"/>
  <c r="AU49" i="2"/>
  <c r="AU47" i="2"/>
  <c r="AU43" i="2"/>
  <c r="AU41" i="2"/>
  <c r="AU39" i="2"/>
  <c r="AU35" i="2"/>
  <c r="AU37" i="2"/>
  <c r="AU33" i="2"/>
  <c r="AU31" i="2"/>
  <c r="AU29" i="2"/>
  <c r="AU27" i="2"/>
  <c r="AU23" i="2"/>
  <c r="AU21" i="2"/>
  <c r="AU19" i="2"/>
  <c r="AU17" i="2"/>
  <c r="AU15" i="2"/>
  <c r="AU13" i="2"/>
  <c r="AU11" i="2"/>
  <c r="AU9" i="2"/>
  <c r="AQ82" i="1"/>
  <c r="AQ77" i="1"/>
  <c r="AQ72" i="1"/>
  <c r="AQ60" i="1"/>
  <c r="AQ50" i="1"/>
  <c r="AQ45" i="1"/>
  <c r="AQ14" i="1" l="1"/>
  <c r="AQ12" i="1"/>
  <c r="AQ10" i="1"/>
  <c r="AQ8" i="1"/>
  <c r="AD5" i="2"/>
  <c r="AB4" i="2"/>
  <c r="AB2" i="2" s="1"/>
  <c r="O1" i="2"/>
  <c r="AK5" i="2"/>
  <c r="W5" i="2"/>
  <c r="P5" i="2"/>
  <c r="I5" i="2"/>
  <c r="AK5" i="3"/>
  <c r="AD5" i="3"/>
  <c r="W5" i="3"/>
  <c r="P5" i="3"/>
  <c r="I5" i="3"/>
  <c r="O1" i="3"/>
  <c r="H1" i="3"/>
  <c r="H1" i="2"/>
  <c r="G4" i="2" l="1"/>
  <c r="AI4" i="2"/>
  <c r="AI2" i="2" s="1"/>
  <c r="AK5" i="1"/>
  <c r="AD5" i="1"/>
  <c r="W5" i="1"/>
  <c r="P5" i="1"/>
  <c r="I5" i="1"/>
  <c r="G2" i="2" l="1"/>
  <c r="N4" i="2"/>
  <c r="N2" i="2" s="1"/>
  <c r="U4" i="2"/>
  <c r="U2" i="2" s="1"/>
  <c r="AI4" i="3"/>
  <c r="AI2" i="3" s="1"/>
  <c r="AI4" i="1"/>
  <c r="AI2" i="1" s="1"/>
  <c r="AB4" i="1"/>
  <c r="AB2" i="1" s="1"/>
  <c r="U4" i="1"/>
  <c r="U2" i="1" s="1"/>
  <c r="N4" i="1"/>
  <c r="N2" i="1" s="1"/>
  <c r="G4" i="1"/>
  <c r="G2" i="1" s="1"/>
  <c r="G4" i="3" l="1"/>
  <c r="G2" i="3" s="1"/>
  <c r="N4" i="3"/>
  <c r="N2" i="3" s="1"/>
  <c r="U4" i="3"/>
  <c r="U2" i="3" s="1"/>
  <c r="AB4" i="3"/>
  <c r="AB2" i="3" s="1"/>
</calcChain>
</file>

<file path=xl/sharedStrings.xml><?xml version="1.0" encoding="utf-8"?>
<sst xmlns="http://schemas.openxmlformats.org/spreadsheetml/2006/main" count="1424" uniqueCount="368">
  <si>
    <t>Trade Reporting Unit Daily Checklist</t>
  </si>
  <si>
    <t xml:space="preserve">Year: </t>
  </si>
  <si>
    <t>Week:</t>
  </si>
  <si>
    <r>
      <t xml:space="preserve">Manager Approval : </t>
    </r>
    <r>
      <rPr>
        <b/>
        <sz val="10"/>
        <color theme="1"/>
        <rFont val="Calibri"/>
        <family val="2"/>
        <scheme val="minor"/>
      </rPr>
      <t>Jekaterina Bogdane</t>
    </r>
  </si>
  <si>
    <t>Processes</t>
  </si>
  <si>
    <t>Deadline</t>
  </si>
  <si>
    <t>Day Completion:</t>
  </si>
  <si>
    <t>Countable items</t>
  </si>
  <si>
    <r>
      <t xml:space="preserve">Group Names:  </t>
    </r>
    <r>
      <rPr>
        <b/>
        <sz val="10"/>
        <color rgb="FFFF0000"/>
        <rFont val="Calibri"/>
        <family val="2"/>
        <scheme val="minor"/>
      </rPr>
      <t>MiFID-GP2-AD</t>
    </r>
  </si>
  <si>
    <t>Weekly Count of KPIs</t>
  </si>
  <si>
    <t>Danish PTT reporting: Check and verify trades applicable for Danish reporting</t>
  </si>
  <si>
    <t>✓</t>
  </si>
  <si>
    <t>Aveniņš, Eduards Zigfrīds</t>
  </si>
  <si>
    <t>30-06-2025 19:42:25</t>
  </si>
  <si>
    <t>Danish Post Trade Transparency monitoring</t>
  </si>
  <si>
    <t>30-06-2025 19:42:47</t>
  </si>
  <si>
    <t>TRS suppression in CSM</t>
  </si>
  <si>
    <t>||</t>
  </si>
  <si>
    <t>Svirskis, Daniels 30-06-2025 17:35:21</t>
  </si>
  <si>
    <t>Aveniņš, Eduards Zigfrīds 01-07-2025 17:05:57</t>
  </si>
  <si>
    <t>Aveniņš, Eduards Zigfrīds 02-07-2025 17:08:25</t>
  </si>
  <si>
    <t>Aveniņš, Eduards Zigfrīds 03-07-2025 17:56:54</t>
  </si>
  <si>
    <t>Aveniņš, Eduards Zigfrīds 04-07-2025 17:56:56</t>
  </si>
  <si>
    <t>no requests</t>
  </si>
  <si>
    <t>EDW Exception Handling (Fansy &amp; Senior)</t>
  </si>
  <si>
    <t>Aveniņš, Eduards Zigfrīds 30-06-2025 19:43:31</t>
  </si>
  <si>
    <t>Aveniņš, Eduards Zigfrīds 01-07-2025 17:06:04</t>
  </si>
  <si>
    <t>Aveniņš, Eduards Zigfrīds 02-07-2025 17:08:34</t>
  </si>
  <si>
    <t>Aveniņš, Eduards Zigfrīds 03-07-2025 17:57:01</t>
  </si>
  <si>
    <t>Aveniņš, Eduards Zigfrīds 04-07-2025 17:57:03</t>
  </si>
  <si>
    <t>no exceptions</t>
  </si>
  <si>
    <t>MiFID II Weekly Task Notes</t>
  </si>
  <si>
    <t>30-06-2025 19:42:53</t>
  </si>
  <si>
    <t>Third Country venue Email check</t>
  </si>
  <si>
    <r>
      <t xml:space="preserve">Group Names:  </t>
    </r>
    <r>
      <rPr>
        <b/>
        <sz val="10"/>
        <color rgb="FFFF0000"/>
        <rFont val="Calibri"/>
        <family val="2"/>
        <scheme val="minor"/>
      </rPr>
      <t>OTH-GP1-AD</t>
    </r>
  </si>
  <si>
    <t>Phone handling (Monday - Friday)</t>
  </si>
  <si>
    <t>Ešmits, Rūdolfs</t>
  </si>
  <si>
    <t>30-06-2025 17:05:50</t>
  </si>
  <si>
    <t>Common e-mail handling (Monday - Friday)</t>
  </si>
  <si>
    <t>30-06-2025 17:05:59</t>
  </si>
  <si>
    <t>Weekly - Team Meeting Host</t>
  </si>
  <si>
    <t>RBL Tickets Follow Up (Monday)</t>
  </si>
  <si>
    <t>30-06-2025 08:51:45</t>
  </si>
  <si>
    <t>Duality Check Reminder</t>
  </si>
  <si>
    <t>First business day of each Month</t>
  </si>
  <si>
    <t>Absentee category check</t>
  </si>
  <si>
    <t>30-06-2025 17:06:12</t>
  </si>
  <si>
    <t>TRU mailbox all category check</t>
  </si>
  <si>
    <t>30-06-2025 17:06:15</t>
  </si>
  <si>
    <t>Unanswered e-mail check</t>
  </si>
  <si>
    <t>30-06-2025 17:06:17</t>
  </si>
  <si>
    <t>Service Portal Dashboard Check</t>
  </si>
  <si>
    <t>30-06-2025 17:06:36</t>
  </si>
  <si>
    <r>
      <t xml:space="preserve">Group Names: </t>
    </r>
    <r>
      <rPr>
        <b/>
        <sz val="10"/>
        <color rgb="FFFF0000"/>
        <rFont val="Calibri"/>
        <family val="2"/>
        <scheme val="minor"/>
      </rPr>
      <t>CB-GP1</t>
    </r>
  </si>
  <si>
    <t>SELMA Reporting</t>
  </si>
  <si>
    <t>Acknowledgement from Riksbank (FX and FI)</t>
  </si>
  <si>
    <t>On Monday &amp; Tuesday</t>
  </si>
  <si>
    <t>Osīte, Loreta</t>
  </si>
  <si>
    <t>30-06-2025 09:15:45</t>
  </si>
  <si>
    <t>Daily Alarms Check (FX and FI)</t>
  </si>
  <si>
    <t>Talluri, Nithin</t>
  </si>
  <si>
    <t>30-06-2025 09:15:51</t>
  </si>
  <si>
    <t>Selma Mailboxes Check</t>
  </si>
  <si>
    <t>30-06-2025 15:51:50</t>
  </si>
  <si>
    <t>Central Bank Reporting</t>
  </si>
  <si>
    <t>TORA, RPD and FIONA reporting to Central Bank</t>
  </si>
  <si>
    <t>30-06-2025 09:12:02</t>
  </si>
  <si>
    <t>FIONA EOD Positions</t>
  </si>
  <si>
    <t>30-06-2025 09:11:52</t>
  </si>
  <si>
    <t>Tora Mailbox Check</t>
  </si>
  <si>
    <t>During the Day</t>
  </si>
  <si>
    <t>30-06-2025 15:51:52</t>
  </si>
  <si>
    <t>BIS Semiannual &amp; Triennial</t>
  </si>
  <si>
    <t>STIBOR - Tableau Check</t>
  </si>
  <si>
    <t>8:00 - 10:00</t>
  </si>
  <si>
    <t>30-06-2025 09:11:15</t>
  </si>
  <si>
    <t xml:space="preserve">STIBOR - Reconciliation </t>
  </si>
  <si>
    <t>30-06-2025 09:11:17</t>
  </si>
  <si>
    <t>Central Bank Follow-up file</t>
  </si>
  <si>
    <t>Central Bank Support</t>
  </si>
  <si>
    <t>Incident received and handled</t>
  </si>
  <si>
    <t>Krievkalne, Elīna</t>
  </si>
  <si>
    <t>30-06-2025 16:50:40</t>
  </si>
  <si>
    <t>Escalation of weekly outlier to RO</t>
  </si>
  <si>
    <t>30-06-2025 16:50:42</t>
  </si>
  <si>
    <r>
      <t xml:space="preserve">Group Name: </t>
    </r>
    <r>
      <rPr>
        <b/>
        <sz val="10"/>
        <color rgb="FFFF0000"/>
        <rFont val="Calibri"/>
        <family val="2"/>
        <scheme val="minor"/>
      </rPr>
      <t xml:space="preserve">SFTR-GP7 </t>
    </r>
  </si>
  <si>
    <t>SFT FCA Trade Break Report</t>
  </si>
  <si>
    <t>1. New cases</t>
  </si>
  <si>
    <t>Krievkalne, Elīna 01-07-2025 14:22:48</t>
  </si>
  <si>
    <t>Krievkalne, Elīna 01-07-2025 14:23:14</t>
  </si>
  <si>
    <t>Krievkalne, Elīna 02-07-2025 15:23:02</t>
  </si>
  <si>
    <t>Krievkalne, Elīna 03-07-2025 16:42:33</t>
  </si>
  <si>
    <t>Krievkalne, Elīna 04-07-2025 15:36:08</t>
  </si>
  <si>
    <t>no new cases</t>
  </si>
  <si>
    <t>2. Follow up on existing cases</t>
  </si>
  <si>
    <t>Krievkalne, Elīna 01-07-2025 14:22:53</t>
  </si>
  <si>
    <t>Krievkalne, Elīna 01-07-2025 14:23:17</t>
  </si>
  <si>
    <t>Krievkalne, Elīna 02-07-2025 15:23:05</t>
  </si>
  <si>
    <t>Krievkalne, Elīna 03-07-2025 16:42:38</t>
  </si>
  <si>
    <t>Krievkalne, Elīna 04-07-2025 15:36:11</t>
  </si>
  <si>
    <t>SFT FCA Collateral Break Report</t>
  </si>
  <si>
    <t>Krievkalne, Elīna 01-07-2025 14:22:56</t>
  </si>
  <si>
    <t>Krievkalne, Elīna 01-07-2025 14:23:20</t>
  </si>
  <si>
    <t>Krievkalne, Elīna 02-07-2025 15:23:07</t>
  </si>
  <si>
    <t>Krievkalne, Elīna 03-07-2025 16:42:40</t>
  </si>
  <si>
    <t>Krievkalne, Elīna 04-07-2025 15:36:14</t>
  </si>
  <si>
    <t>Krievkalne, Elīna 01-07-2025 14:23:00</t>
  </si>
  <si>
    <t>Krievkalne, Elīna 01-07-2025 14:23:23</t>
  </si>
  <si>
    <t>Krievkalne, Elīna 02-07-2025 15:23:10</t>
  </si>
  <si>
    <t>Krievkalne, Elīna 03-07-2025 16:42:42</t>
  </si>
  <si>
    <t>Krievkalne, Elīna 04-07-2025 15:36:17</t>
  </si>
  <si>
    <t>SFT FCA Valuation Break Report</t>
  </si>
  <si>
    <t>Krievkalne, Elīna 01-07-2025 14:23:05</t>
  </si>
  <si>
    <t>Krievkalne, Elīna 01-07-2025 14:23:25</t>
  </si>
  <si>
    <t>Krievkalne, Elīna 02-07-2025 15:23:12</t>
  </si>
  <si>
    <t>Krievkalne, Elīna 03-07-2025 16:42:45</t>
  </si>
  <si>
    <t>Krievkalne, Elīna 04-07-2025 15:36:20</t>
  </si>
  <si>
    <t>Krievkalne, Elīna 01-07-2025 14:23:08</t>
  </si>
  <si>
    <t>Krievkalne, Elīna 01-07-2025 14:23:28</t>
  </si>
  <si>
    <t>Krievkalne, Elīna 02-07-2025 15:23:15</t>
  </si>
  <si>
    <t>Krievkalne, Elīna 03-07-2025 16:42:47</t>
  </si>
  <si>
    <t>Krievkalne, Elīna 04-07-2025 15:36:25</t>
  </si>
  <si>
    <t>No New Cases</t>
  </si>
  <si>
    <t>Monthly Task</t>
  </si>
  <si>
    <t>Report not Available</t>
  </si>
  <si>
    <r>
      <t xml:space="preserve">Manager Approval : </t>
    </r>
    <r>
      <rPr>
        <b/>
        <sz val="11"/>
        <color theme="1"/>
        <rFont val="Calibri"/>
        <family val="2"/>
        <scheme val="minor"/>
      </rPr>
      <t>Jekaterina Bogdane</t>
    </r>
  </si>
  <si>
    <t>Suggested Time</t>
  </si>
  <si>
    <r>
      <t xml:space="preserve">Group Name : </t>
    </r>
    <r>
      <rPr>
        <b/>
        <sz val="12"/>
        <color rgb="FFFF0000"/>
        <rFont val="Calibri"/>
        <family val="2"/>
        <scheme val="minor"/>
      </rPr>
      <t>MiFID-GP1</t>
    </r>
  </si>
  <si>
    <t>Alert handling completeness check on Monday</t>
  </si>
  <si>
    <t>NDB</t>
  </si>
  <si>
    <t>Svirskis, Daniels</t>
  </si>
  <si>
    <t>30-06-2025 16:53:40</t>
  </si>
  <si>
    <t>30-06-2025 16:54:03</t>
  </si>
  <si>
    <t>XTP</t>
  </si>
  <si>
    <t>30-06-2025 16:53:42</t>
  </si>
  <si>
    <t>30-06-2025 16:54:05</t>
  </si>
  <si>
    <t>MOXY - DK</t>
  </si>
  <si>
    <t>30-06-2025 16:53:44</t>
  </si>
  <si>
    <t>30-06-2025 16:54:06</t>
  </si>
  <si>
    <t>CRIMS (SUNSET)</t>
  </si>
  <si>
    <t>30-06-2025 16:53:46</t>
  </si>
  <si>
    <t>30-06-2025 16:54:08</t>
  </si>
  <si>
    <t>ULLINK</t>
  </si>
  <si>
    <t>30-06-2025 16:53:47</t>
  </si>
  <si>
    <t>30-06-2025 16:54:11</t>
  </si>
  <si>
    <t>APX - FI</t>
  </si>
  <si>
    <t>30-06-2025 16:53:50</t>
  </si>
  <si>
    <t>30-06-2025 16:54:13</t>
  </si>
  <si>
    <t>DW Denmark</t>
  </si>
  <si>
    <t>30-06-2025 16:53:52</t>
  </si>
  <si>
    <t>30-06-2025 16:54:17</t>
  </si>
  <si>
    <t>Eclipse (SUNSET)</t>
  </si>
  <si>
    <t>30-06-2025 16:53:55</t>
  </si>
  <si>
    <t>30-06-2025 16:54:19</t>
  </si>
  <si>
    <r>
      <t xml:space="preserve">Group Name : </t>
    </r>
    <r>
      <rPr>
        <b/>
        <sz val="12"/>
        <color rgb="FFFF0000"/>
        <rFont val="Calibri"/>
        <family val="2"/>
        <charset val="186"/>
        <scheme val="minor"/>
      </rPr>
      <t>MiFID-GP2</t>
    </r>
  </si>
  <si>
    <t>FANSY</t>
  </si>
  <si>
    <t>Kozlova, Viktorija</t>
  </si>
  <si>
    <t>30-06-2025 14:17:11</t>
  </si>
  <si>
    <t>30-06-2025 14:16:56</t>
  </si>
  <si>
    <t>MurexFX</t>
  </si>
  <si>
    <t>30-06-2025 14:17:12</t>
  </si>
  <si>
    <t>30-06-2025 14:16:57</t>
  </si>
  <si>
    <t>PROBROKER</t>
  </si>
  <si>
    <t>30-06-2025 14:17:14</t>
  </si>
  <si>
    <t>30-06-2025 14:16:58</t>
  </si>
  <si>
    <t>SENIOR</t>
  </si>
  <si>
    <t>30-06-2025 14:17:15</t>
  </si>
  <si>
    <t>30-06-2025 14:16:59</t>
  </si>
  <si>
    <t>Custody Data</t>
  </si>
  <si>
    <t>30-06-2025 14:17:16</t>
  </si>
  <si>
    <t>30-06-2025 14:17:01</t>
  </si>
  <si>
    <t>MTR</t>
  </si>
  <si>
    <t>30-06-2025 14:17:17</t>
  </si>
  <si>
    <t>30-06-2025 14:17:03</t>
  </si>
  <si>
    <t>EMIL/EMILIA</t>
  </si>
  <si>
    <t>30-06-2025 14:17:19</t>
  </si>
  <si>
    <t>30-06-2025 14:17:04</t>
  </si>
  <si>
    <t>LTI Hub</t>
  </si>
  <si>
    <t>30-06-2025 14:17:21</t>
  </si>
  <si>
    <t>30-06-2025 14:17:05</t>
  </si>
  <si>
    <t>OWS (SUNSET)</t>
  </si>
  <si>
    <t>30-06-2025 14:17:22</t>
  </si>
  <si>
    <t>30-06-2025 14:17:06</t>
  </si>
  <si>
    <r>
      <t xml:space="preserve">Group Name : </t>
    </r>
    <r>
      <rPr>
        <b/>
        <sz val="12"/>
        <color rgb="FFFF0000"/>
        <rFont val="Calibri"/>
        <family val="2"/>
        <charset val="186"/>
        <scheme val="minor"/>
      </rPr>
      <t>MiFID-GP3</t>
    </r>
  </si>
  <si>
    <t>Calypso</t>
  </si>
  <si>
    <t>30-06-2025 15:47:42</t>
  </si>
  <si>
    <t>30-06-2025 15:52:11</t>
  </si>
  <si>
    <t>Olympic</t>
  </si>
  <si>
    <t>30-06-2025 15:47:43</t>
  </si>
  <si>
    <t>30-06-2025 15:52:13</t>
  </si>
  <si>
    <t>CIMP</t>
  </si>
  <si>
    <t>30-06-2025 15:47:45</t>
  </si>
  <si>
    <t>30-06-2025 15:52:14</t>
  </si>
  <si>
    <t>STX</t>
  </si>
  <si>
    <t>Osīte, Loreta 30-06-2025 15:49:09</t>
  </si>
  <si>
    <t>no transactions affected</t>
  </si>
  <si>
    <t>30-06-2025 15:52:17</t>
  </si>
  <si>
    <t>Prime</t>
  </si>
  <si>
    <t>30-06-2025 15:47:48</t>
  </si>
  <si>
    <t>30-06-2025 15:52:19</t>
  </si>
  <si>
    <t>SwapOne</t>
  </si>
  <si>
    <t>30-06-2025 15:47:50</t>
  </si>
  <si>
    <t>30-06-2025 15:52:20</t>
  </si>
  <si>
    <t>SEBTRADE (SUNSET)</t>
  </si>
  <si>
    <t>Osīte, Loreta 30-06-2025 15:49:28</t>
  </si>
  <si>
    <t>Osīte, Loreta 01-07-2025 15:34:20</t>
  </si>
  <si>
    <t xml:space="preserve">No transactions affected </t>
  </si>
  <si>
    <t>30-06-2025 15:52:21</t>
  </si>
  <si>
    <t>Murex SPS (SUNSET)</t>
  </si>
  <si>
    <t>Osīte, Loreta 01-07-2025 15:34:27</t>
  </si>
  <si>
    <t>30-06-2025 15:52:23</t>
  </si>
  <si>
    <t>PTT - Warnings (All Sources)</t>
  </si>
  <si>
    <r>
      <t xml:space="preserve">Group Name : </t>
    </r>
    <r>
      <rPr>
        <b/>
        <sz val="12"/>
        <color rgb="FFFF0000"/>
        <rFont val="Calibri"/>
        <family val="2"/>
        <charset val="186"/>
        <scheme val="minor"/>
      </rPr>
      <t>MiFID-GP4 (INTC)</t>
    </r>
  </si>
  <si>
    <t>Daily INTC quantity Imbalance report Investigation</t>
  </si>
  <si>
    <t>30-06-2025 14:18:20</t>
  </si>
  <si>
    <t>Follow Up / Investigation on Existing Cases</t>
  </si>
  <si>
    <t>30-06-2025 14:18:23</t>
  </si>
  <si>
    <r>
      <t xml:space="preserve">Group Name : </t>
    </r>
    <r>
      <rPr>
        <b/>
        <sz val="12"/>
        <color rgb="FFFF0000"/>
        <rFont val="Calibri"/>
        <family val="2"/>
        <charset val="186"/>
        <scheme val="minor"/>
      </rPr>
      <t>MiFID-GP5 (INTC)</t>
    </r>
  </si>
  <si>
    <t>History INTC imbalance report investigation</t>
  </si>
  <si>
    <t>Svirskis, Daniels 08-07-2025 10:26:34</t>
  </si>
  <si>
    <t>Aveniņš, Eduards Zigfrīds 02-07-2025 17:07:24</t>
  </si>
  <si>
    <t>Aveniņš, Eduards Zigfrīds 04-07-2025 17:56:18</t>
  </si>
  <si>
    <t>-</t>
  </si>
  <si>
    <t>logging tickets today</t>
  </si>
  <si>
    <t>no investigation performed today</t>
  </si>
  <si>
    <t>Upload RJIRA</t>
  </si>
  <si>
    <r>
      <t xml:space="preserve">Group Name : </t>
    </r>
    <r>
      <rPr>
        <b/>
        <sz val="12"/>
        <color rgb="FFFF0000"/>
        <rFont val="Calibri"/>
        <family val="2"/>
        <charset val="186"/>
        <scheme val="minor"/>
      </rPr>
      <t>MiFID-GP1-AD</t>
    </r>
  </si>
  <si>
    <t>MIFID II Cost &amp; Charges</t>
  </si>
  <si>
    <t>30-06-2025 16:54:24</t>
  </si>
  <si>
    <t>Daily Stats</t>
  </si>
  <si>
    <t>Handling of trades older than 5 Years</t>
  </si>
  <si>
    <t>30-06-2025 16:54:28</t>
  </si>
  <si>
    <t>LEI Breach Report</t>
  </si>
  <si>
    <t>CAM query check</t>
  </si>
  <si>
    <t>30-06-2025 16:54:32</t>
  </si>
  <si>
    <t>LTI Hub check</t>
  </si>
  <si>
    <t>Svirskis, Daniels 04-07-2025 16:07:23</t>
  </si>
  <si>
    <t>no changes</t>
  </si>
  <si>
    <t>Weekly LEI breach Registering</t>
  </si>
  <si>
    <t>Year</t>
  </si>
  <si>
    <r>
      <t xml:space="preserve">Manager Approval : </t>
    </r>
    <r>
      <rPr>
        <b/>
        <sz val="10.5"/>
        <color theme="1"/>
        <rFont val="Calibri"/>
        <family val="2"/>
        <scheme val="minor"/>
      </rPr>
      <t>Jekaterina Bogdane</t>
    </r>
  </si>
  <si>
    <r>
      <t xml:space="preserve">Group Name:  </t>
    </r>
    <r>
      <rPr>
        <b/>
        <sz val="10.5"/>
        <color rgb="FFFF0000"/>
        <rFont val="Calibri"/>
        <family val="2"/>
        <scheme val="minor"/>
      </rPr>
      <t>SFTR-GP8</t>
    </r>
  </si>
  <si>
    <t>SFTR - Support Person</t>
  </si>
  <si>
    <t>Ešmits, Rūdolfs 30-06-2025 17:08:07</t>
  </si>
  <si>
    <t>Ešmits, Rūdolfs 01-07-2025 16:46:26</t>
  </si>
  <si>
    <t>Ešmits, Rūdolfs 02-07-2025 16:41:09</t>
  </si>
  <si>
    <t>Ešmits, Rūdolfs 03-07-2025 16:33:52</t>
  </si>
  <si>
    <t>Ešmits, Rūdolfs 04-07-2025 17:02:54</t>
  </si>
  <si>
    <t>Support person not used.</t>
  </si>
  <si>
    <t>Support person not used</t>
  </si>
  <si>
    <r>
      <t xml:space="preserve">Group Name:  </t>
    </r>
    <r>
      <rPr>
        <b/>
        <sz val="10.5"/>
        <color rgb="FFFF0000"/>
        <rFont val="Calibri"/>
        <family val="2"/>
        <scheme val="minor"/>
      </rPr>
      <t>SFTR-GP1</t>
    </r>
  </si>
  <si>
    <t>PRIME</t>
  </si>
  <si>
    <t>SFT UTI Unpaired Report</t>
  </si>
  <si>
    <t>SFTR UTI not paired</t>
  </si>
  <si>
    <t>SFTR Mismatch fields report</t>
  </si>
  <si>
    <t>Prime SFTR SQL reports</t>
  </si>
  <si>
    <t>SFT Trade Break Report</t>
  </si>
  <si>
    <t>30-06-2025 16:50:10</t>
  </si>
  <si>
    <t>30-06-2025 16:50:11</t>
  </si>
  <si>
    <t>SFT Collateral Break Report</t>
  </si>
  <si>
    <t>Krievkalne, Elīna 30-06-2025 16:50:15</t>
  </si>
  <si>
    <t>Krievkalne, Elīna 01-07-2025 16:12:41</t>
  </si>
  <si>
    <t>Krievkalne, Elīna 02-07-2025 15:44:45</t>
  </si>
  <si>
    <t>Krievkalne, Elīna 03-07-2025 16:43:10</t>
  </si>
  <si>
    <t>Krievkalne, Elīna 04-07-2025 15:34:39</t>
  </si>
  <si>
    <t>30-06-2025 16:50:18</t>
  </si>
  <si>
    <t>SFT Valuation Break Report</t>
  </si>
  <si>
    <t>30-06-2025 16:50:19</t>
  </si>
  <si>
    <t>30-06-2025 16:50:23</t>
  </si>
  <si>
    <r>
      <t xml:space="preserve">Group Name: </t>
    </r>
    <r>
      <rPr>
        <b/>
        <sz val="10.5"/>
        <color rgb="FFFF0000"/>
        <rFont val="Calibri"/>
        <family val="2"/>
        <scheme val="minor"/>
      </rPr>
      <t>SFTR-GP2</t>
    </r>
  </si>
  <si>
    <t>CMS</t>
  </si>
  <si>
    <t>SFT field Mismatch Report</t>
  </si>
  <si>
    <t>Talluri, Nithin 04-07-2025 16:29:18</t>
  </si>
  <si>
    <t>No new cases</t>
  </si>
  <si>
    <t>CMS SFTR SQL reports</t>
  </si>
  <si>
    <t>30-06-2025 16:49:40</t>
  </si>
  <si>
    <t>30-06-2025 16:49:42</t>
  </si>
  <si>
    <r>
      <t xml:space="preserve">Group Name: </t>
    </r>
    <r>
      <rPr>
        <b/>
        <sz val="10.5"/>
        <color rgb="FFFF0000"/>
        <rFont val="Calibri"/>
        <family val="2"/>
        <scheme val="minor"/>
      </rPr>
      <t>SFTR-GP3</t>
    </r>
  </si>
  <si>
    <t>Ešmits, Rūdolfs 04-07-2025 16:38:12</t>
  </si>
  <si>
    <t>Calypso SFTR SQL reports</t>
  </si>
  <si>
    <t>30-06-2025 17:05:14</t>
  </si>
  <si>
    <t>30-06-2025 17:05:18</t>
  </si>
  <si>
    <t>Ešmits, Rūdolfs 02-07-2025 16:40:28</t>
  </si>
  <si>
    <t>Ešmits, Rūdolfs 03-07-2025 16:33:22</t>
  </si>
  <si>
    <t>Ešmits, Rūdolfs 04-07-2025 17:02:06</t>
  </si>
  <si>
    <t>30-06-2025 17:05:12</t>
  </si>
  <si>
    <t>30-06-2025 17:04:54</t>
  </si>
  <si>
    <r>
      <t xml:space="preserve">Group Name: </t>
    </r>
    <r>
      <rPr>
        <b/>
        <sz val="10.5"/>
        <color rgb="FFFF0000"/>
        <rFont val="Calibri"/>
        <family val="2"/>
        <scheme val="minor"/>
      </rPr>
      <t>SFTR-GP4</t>
    </r>
  </si>
  <si>
    <t>ProBroker</t>
  </si>
  <si>
    <t>Talluri, Nithin 04-07-2025 16:29:23</t>
  </si>
  <si>
    <t>Talluri, Nithin 04-07-2025 16:29:28</t>
  </si>
  <si>
    <t>ProBroker SFTR SQL reports</t>
  </si>
  <si>
    <t>30-06-2025 16:49:51</t>
  </si>
  <si>
    <t>30-06-2025 16:49:53</t>
  </si>
  <si>
    <t>30-06-2025 16:49:55</t>
  </si>
  <si>
    <t>30-06-2025 16:49:56</t>
  </si>
  <si>
    <t>Talluri, Nithin 30-06-2025 16:50:05</t>
  </si>
  <si>
    <t>Talluri, Nithin 01-07-2025 16:19:42</t>
  </si>
  <si>
    <t>Talluri, Nithin 02-07-2025 17:05:07</t>
  </si>
  <si>
    <t>Talluri, Nithin 03-07-2025 17:03:46</t>
  </si>
  <si>
    <t>Talluri, Nithin 04-07-2025 16:29:47</t>
  </si>
  <si>
    <t>Talluri, Nithin 30-06-2025 16:50:10</t>
  </si>
  <si>
    <t>Talluri, Nithin 01-07-2025 16:19:47</t>
  </si>
  <si>
    <t>Talluri, Nithin 02-07-2025 17:05:13</t>
  </si>
  <si>
    <t>Talluri, Nithin 03-07-2025 17:03:50</t>
  </si>
  <si>
    <t>Talluri, Nithin 04-07-2025 16:29:51</t>
  </si>
  <si>
    <t>Ingredients:-</t>
  </si>
  <si>
    <r>
      <t xml:space="preserve">Group Name: </t>
    </r>
    <r>
      <rPr>
        <b/>
        <sz val="10.5"/>
        <color rgb="FFFF0000"/>
        <rFont val="Calibri"/>
        <family val="2"/>
        <scheme val="minor"/>
      </rPr>
      <t>SFTR-GP5</t>
    </r>
  </si>
  <si>
    <t>Prime Brokerage</t>
  </si>
  <si>
    <t>Ešmits, Rūdolfs 04-07-2025 17:02:41</t>
  </si>
  <si>
    <t>Ešmits, Rūdolfs 04-07-2025 17:02:44</t>
  </si>
  <si>
    <t>PB SFTR SQL reports</t>
  </si>
  <si>
    <t>Ešmits, Rūdolfs 30-06-2025 17:05:26</t>
  </si>
  <si>
    <t>Ešmits, Rūdolfs 01-07-2025 16:46:36</t>
  </si>
  <si>
    <t>Ešmits, Rūdolfs 02-07-2025 16:40:43</t>
  </si>
  <si>
    <t>Ešmits, Rūdolfs 03-07-2025 16:32:54</t>
  </si>
  <si>
    <t>Ešmits, Rūdolfs 04-07-2025 17:02:12</t>
  </si>
  <si>
    <t>Ešmits, Rūdolfs 30-06-2025 17:05:30</t>
  </si>
  <si>
    <t>Ešmits, Rūdolfs 01-07-2025 16:46:39</t>
  </si>
  <si>
    <t>Ešmits, Rūdolfs 02-07-2025 16:40:46</t>
  </si>
  <si>
    <t>Ešmits, Rūdolfs 03-07-2025 16:32:58</t>
  </si>
  <si>
    <t>Ešmits, Rūdolfs 04-07-2025 17:02:15</t>
  </si>
  <si>
    <t>Ešmits, Rūdolfs 30-06-2025 17:05:33</t>
  </si>
  <si>
    <t>Ešmits, Rūdolfs 01-07-2025 16:46:41</t>
  </si>
  <si>
    <t>Ešmits, Rūdolfs 02-07-2025 16:40:48</t>
  </si>
  <si>
    <t>Ešmits, Rūdolfs 03-07-2025 16:33:01</t>
  </si>
  <si>
    <t>Ešmits, Rūdolfs 04-07-2025 17:02:19</t>
  </si>
  <si>
    <t>Ešmits, Rūdolfs 30-06-2025 17:05:36</t>
  </si>
  <si>
    <t>Ešmits, Rūdolfs 01-07-2025 16:46:43</t>
  </si>
  <si>
    <t>Ešmits, Rūdolfs 02-07-2025 16:40:52</t>
  </si>
  <si>
    <t>Ešmits, Rūdolfs 03-07-2025 16:33:05</t>
  </si>
  <si>
    <t>Ešmits, Rūdolfs 04-07-2025 17:02:22</t>
  </si>
  <si>
    <t>Ešmits, Rūdolfs 30-06-2025 17:05:38</t>
  </si>
  <si>
    <t>Ešmits, Rūdolfs 01-07-2025 16:46:47</t>
  </si>
  <si>
    <t>Ešmits, Rūdolfs 02-07-2025 16:40:55</t>
  </si>
  <si>
    <t>Ešmits, Rūdolfs 03-07-2025 16:33:10</t>
  </si>
  <si>
    <t>Ešmits, Rūdolfs 04-07-2025 17:02:24</t>
  </si>
  <si>
    <t>Ešmits, Rūdolfs 30-06-2025 17:05:42</t>
  </si>
  <si>
    <t>Ešmits, Rūdolfs 01-07-2025 16:46:50</t>
  </si>
  <si>
    <t>Ešmits, Rūdolfs 02-07-2025 16:40:58</t>
  </si>
  <si>
    <t>Ešmits, Rūdolfs 03-07-2025 16:33:13</t>
  </si>
  <si>
    <t>Ešmits, Rūdolfs 04-07-2025 17:02:27</t>
  </si>
  <si>
    <r>
      <t xml:space="preserve">Group Name: </t>
    </r>
    <r>
      <rPr>
        <b/>
        <sz val="10.5"/>
        <color rgb="FFFF0000"/>
        <rFont val="Calibri"/>
        <family val="2"/>
        <scheme val="minor"/>
      </rPr>
      <t>SFTR-GP6</t>
    </r>
  </si>
  <si>
    <t>SFT - Live Deal Matching Reconciliation</t>
  </si>
  <si>
    <t>Live SFT Matching</t>
  </si>
  <si>
    <t>30-06-2025 16:50:20</t>
  </si>
  <si>
    <t>Talluri, Nithin 30-06-2025 16:50:24</t>
  </si>
  <si>
    <t>Talluri, Nithin 02-07-2025 09:09:26</t>
  </si>
  <si>
    <t>Talluri, Nithin 02-07-2025 09:09:30</t>
  </si>
  <si>
    <t>Talluri, Nithin 03-07-2025 17:04:00</t>
  </si>
  <si>
    <t>Talluri, Nithin 04-07-2025 09:05:54</t>
  </si>
  <si>
    <r>
      <t xml:space="preserve">Group Name: </t>
    </r>
    <r>
      <rPr>
        <b/>
        <sz val="10.5"/>
        <color rgb="FFFF0000"/>
        <rFont val="Calibri"/>
        <family val="2"/>
        <scheme val="minor"/>
      </rPr>
      <t>SFTR-GP1-AD</t>
    </r>
  </si>
  <si>
    <t>Additional Tasks</t>
  </si>
  <si>
    <t>SFT Margin Cleared</t>
  </si>
  <si>
    <t>30-06-2025 16:50:29</t>
  </si>
  <si>
    <t>SFT Collateral Reuse</t>
  </si>
  <si>
    <t>30-06-2025 16:50:31</t>
  </si>
  <si>
    <t>DTCC portal check</t>
  </si>
  <si>
    <t>30-06-2025 16:50:33</t>
  </si>
  <si>
    <t>End of Day Reporting Flow check in SFTR</t>
  </si>
  <si>
    <t>30-06-2025 16:50:34</t>
  </si>
  <si>
    <t>TRS Runbook for MRE RO Deployments</t>
  </si>
  <si>
    <t>Email about Successful Deployment Received
Runbook Actions are Initiated
Runbook is Finalized</t>
  </si>
  <si>
    <t>Krievkalne, Elīna 30-06-2025 16:50:37</t>
  </si>
  <si>
    <t>Krievkalne, Elīna 01-07-2025 16:12:57</t>
  </si>
  <si>
    <t>Krievkalne, Elīna 02-07-2025 15:22:56</t>
  </si>
  <si>
    <t>Krievkalne, Elīna 03-07-2025 16:43:00</t>
  </si>
  <si>
    <t>Krievkalne, Elīna 04-07-2025 15:35:51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</si>
</sst>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9">
    <font>
      <sz val="11"/>
      <color theme="1"/>
      <name val="Calibri"/>
      <family val="2"/>
      <scheme val="minor"/>
    </font>
    <font>
      <b/>
      <sz val="11"/>
      <color theme="1"/>
      <name val="Calibri"/>
      <family val="2"/>
      <scheme val="minor"/>
    </font>
    <font>
      <sz val="11"/>
      <color theme="0"/>
      <name val="Calibri"/>
      <family val="2"/>
      <scheme val="minor"/>
    </font>
    <font>
      <b/>
      <sz val="11"/>
      <color theme="1"/>
      <name val="Calibri"/>
      <family val="2"/>
      <charset val="186"/>
      <scheme val="minor"/>
    </font>
    <font>
      <b/>
      <sz val="11"/>
      <name val="Calibri"/>
      <family val="2"/>
      <scheme val="minor"/>
    </font>
    <font>
      <sz val="10"/>
      <name val="Calibri"/>
      <family val="2"/>
      <scheme val="minor"/>
    </font>
    <font>
      <b/>
      <sz val="10"/>
      <name val="Calibri"/>
      <family val="2"/>
      <scheme val="minor"/>
    </font>
    <font>
      <sz val="11"/>
      <name val="Calibri"/>
      <family val="2"/>
      <scheme val="minor"/>
    </font>
    <font>
      <b/>
      <sz val="11"/>
      <color theme="6" tint="-0.499984740745262"/>
      <name val="Calibri"/>
      <family val="2"/>
      <scheme val="minor"/>
    </font>
    <font>
      <b/>
      <sz val="12"/>
      <color theme="1"/>
      <name val="Calibri"/>
      <family val="2"/>
      <scheme val="minor"/>
    </font>
    <font>
      <b/>
      <sz val="12"/>
      <color rgb="FFFF0000"/>
      <name val="Calibri"/>
      <family val="2"/>
      <scheme val="minor"/>
    </font>
    <font>
      <b/>
      <sz val="12"/>
      <color theme="1"/>
      <name val="Calibri"/>
      <family val="2"/>
      <charset val="186"/>
      <scheme val="minor"/>
    </font>
    <font>
      <b/>
      <sz val="12"/>
      <color rgb="FFFF0000"/>
      <name val="Calibri"/>
      <family val="2"/>
      <charset val="186"/>
      <scheme val="minor"/>
    </font>
    <font>
      <b/>
      <sz val="11"/>
      <name val="Calibri"/>
      <family val="2"/>
      <charset val="186"/>
      <scheme val="minor"/>
    </font>
    <font>
      <b/>
      <sz val="11"/>
      <color rgb="FFFF0000"/>
      <name val="Calibri"/>
      <family val="2"/>
      <charset val="186"/>
      <scheme val="minor"/>
    </font>
    <font>
      <b/>
      <sz val="10"/>
      <color theme="1"/>
      <name val="Calibri"/>
      <family val="2"/>
      <scheme val="minor"/>
    </font>
    <font>
      <sz val="10"/>
      <color theme="1"/>
      <name val="Calibri"/>
      <family val="2"/>
      <scheme val="minor"/>
    </font>
    <font>
      <b/>
      <sz val="10"/>
      <color rgb="FFFF0000"/>
      <name val="Calibri"/>
      <family val="2"/>
      <scheme val="minor"/>
    </font>
    <font>
      <b/>
      <sz val="10"/>
      <color theme="6" tint="-0.499984740745262"/>
      <name val="Calibri"/>
      <family val="2"/>
      <scheme val="minor"/>
    </font>
    <font>
      <sz val="10.5"/>
      <name val="Calibri"/>
      <family val="2"/>
      <scheme val="minor"/>
    </font>
    <font>
      <b/>
      <sz val="10.5"/>
      <color theme="1"/>
      <name val="Calibri"/>
      <family val="2"/>
      <scheme val="minor"/>
    </font>
    <font>
      <b/>
      <sz val="10.5"/>
      <color rgb="FFFF0000"/>
      <name val="Calibri"/>
      <family val="2"/>
      <scheme val="minor"/>
    </font>
    <font>
      <b/>
      <sz val="10.5"/>
      <name val="Calibri"/>
      <family val="2"/>
      <scheme val="minor"/>
    </font>
    <font>
      <sz val="10.5"/>
      <color theme="0"/>
      <name val="Calibri"/>
      <family val="2"/>
      <scheme val="minor"/>
    </font>
    <font>
      <sz val="10.5"/>
      <color theme="1"/>
      <name val="Calibri"/>
      <family val="2"/>
      <scheme val="minor"/>
    </font>
    <font>
      <b/>
      <sz val="10.5"/>
      <color theme="6" tint="-0.499984740745262"/>
      <name val="Calibri"/>
      <family val="2"/>
      <scheme val="minor"/>
    </font>
    <font>
      <b/>
      <sz val="12"/>
      <name val="Calibri"/>
      <family val="2"/>
      <scheme val="minor"/>
    </font>
    <font>
      <u/>
      <sz val="11"/>
      <color theme="10"/>
      <name val="Calibri"/>
      <family val="2"/>
      <scheme val="minor"/>
    </font>
    <font>
      <b/>
      <u/>
      <sz val="14"/>
      <color theme="10"/>
      <name val="Calibri"/>
      <family val="2"/>
      <scheme val="minor"/>
    </font>
  </fonts>
  <fills count="17">
    <fill>
      <patternFill patternType="none"/>
    </fill>
    <fill>
      <patternFill patternType="gray125"/>
    </fill>
    <fill>
      <patternFill patternType="solid">
        <fgColor theme="0" tint="-0.14999847407452621"/>
        <bgColor indexed="64"/>
      </patternFill>
    </fill>
    <fill>
      <patternFill patternType="solid">
        <fgColor theme="8" tint="0.59999389629810485"/>
        <bgColor indexed="64"/>
      </patternFill>
    </fill>
    <fill>
      <patternFill patternType="solid">
        <fgColor rgb="FF92D05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99FFCC"/>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rgb="FFD9D9D9"/>
        <bgColor rgb="FF000000"/>
      </patternFill>
    </fill>
  </fills>
  <borders count="50">
    <border>
      <left/>
      <right/>
      <top/>
      <bottom/>
      <diagonal/>
    </border>
    <border>
      <left/>
      <right/>
      <top style="medium">
        <color indexed="64"/>
      </top>
      <bottom/>
      <diagonal/>
    </border>
    <border>
      <left style="medium">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ck">
        <color auto="1"/>
      </right>
      <top/>
      <bottom style="thick">
        <color auto="1"/>
      </bottom>
      <diagonal/>
    </border>
    <border>
      <left/>
      <right style="thick">
        <color auto="1"/>
      </right>
      <top/>
      <bottom/>
      <diagonal/>
    </border>
    <border>
      <left/>
      <right/>
      <top/>
      <bottom style="thick">
        <color auto="1"/>
      </bottom>
      <diagonal/>
    </border>
    <border>
      <left/>
      <right/>
      <top style="thick">
        <color auto="1"/>
      </top>
      <bottom/>
      <diagonal/>
    </border>
    <border>
      <left style="thick">
        <color auto="1"/>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right/>
      <top style="thick">
        <color indexed="64"/>
      </top>
      <bottom style="thin">
        <color indexed="64"/>
      </bottom>
      <diagonal/>
    </border>
    <border>
      <left style="thin">
        <color indexed="64"/>
      </left>
      <right/>
      <top style="thick">
        <color indexed="64"/>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thick">
        <color indexed="64"/>
      </left>
      <right/>
      <top style="thick">
        <color indexed="64"/>
      </top>
      <bottom/>
      <diagonal/>
    </border>
    <border>
      <left/>
      <right style="thin">
        <color indexed="64"/>
      </right>
      <top style="thick">
        <color indexed="64"/>
      </top>
      <bottom/>
      <diagonal/>
    </border>
    <border>
      <left style="thick">
        <color indexed="64"/>
      </left>
      <right/>
      <top/>
      <bottom style="medium">
        <color indexed="64"/>
      </bottom>
      <diagonal/>
    </border>
    <border>
      <left/>
      <right style="thick">
        <color indexed="64"/>
      </right>
      <top style="thick">
        <color indexed="64"/>
      </top>
      <bottom/>
      <diagonal/>
    </border>
    <border>
      <left style="thick">
        <color indexed="64"/>
      </left>
      <right/>
      <top/>
      <bottom style="thick">
        <color indexed="64"/>
      </bottom>
      <diagonal/>
    </border>
  </borders>
  <cellStyleXfs count="2">
    <xf numFmtId="0" fontId="0" fillId="0" borderId="0"/>
    <xf numFmtId="0" fontId="27" fillId="0" borderId="0" applyNumberFormat="0" applyFill="0" applyBorder="0" applyAlignment="0" applyProtection="0"/>
  </cellStyleXfs>
  <cellXfs count="448">
    <xf numFmtId="0" fontId="0" fillId="0" borderId="0" xfId="0"/>
    <xf numFmtId="0" fontId="4" fillId="4" borderId="9" xfId="0" applyFont="1" applyFill="1" applyBorder="1" applyAlignment="1" applyProtection="1">
      <alignment horizontal="center" vertical="center"/>
      <protection locked="0"/>
    </xf>
    <xf numFmtId="0" fontId="16" fillId="0" borderId="0" xfId="0" applyFont="1"/>
    <xf numFmtId="0" fontId="16" fillId="0" borderId="10" xfId="0" applyFont="1" applyBorder="1" applyAlignment="1" applyProtection="1">
      <alignment horizontal="center" vertical="center"/>
      <protection locked="0"/>
    </xf>
    <xf numFmtId="0" fontId="16" fillId="0" borderId="0" xfId="0" applyFont="1" applyAlignment="1">
      <alignment horizontal="center"/>
    </xf>
    <xf numFmtId="0" fontId="7" fillId="0" borderId="0" xfId="0" applyFont="1" applyAlignment="1" applyProtection="1">
      <alignment horizontal="center" vertical="center"/>
      <protection locked="0"/>
    </xf>
    <xf numFmtId="0" fontId="16" fillId="7" borderId="0" xfId="0" applyFont="1" applyFill="1" applyAlignment="1">
      <alignment horizontal="center"/>
    </xf>
    <xf numFmtId="0" fontId="0" fillId="7" borderId="0" xfId="0" applyFill="1"/>
    <xf numFmtId="0" fontId="16" fillId="6" borderId="0" xfId="0" applyFont="1" applyFill="1" applyAlignment="1">
      <alignment horizontal="center"/>
    </xf>
    <xf numFmtId="0" fontId="0" fillId="6" borderId="0" xfId="0" applyFill="1"/>
    <xf numFmtId="0" fontId="0" fillId="4" borderId="2" xfId="0" applyFill="1" applyBorder="1" applyAlignment="1">
      <alignment vertical="center"/>
    </xf>
    <xf numFmtId="0" fontId="0" fillId="4" borderId="0" xfId="0" applyFill="1" applyAlignment="1">
      <alignment vertical="center"/>
    </xf>
    <xf numFmtId="0" fontId="0" fillId="0" borderId="0" xfId="0" applyAlignment="1">
      <alignment vertical="center"/>
    </xf>
    <xf numFmtId="0" fontId="0" fillId="7" borderId="15" xfId="0" applyFill="1" applyBorder="1"/>
    <xf numFmtId="0" fontId="3" fillId="4" borderId="0" xfId="0" applyFont="1" applyFill="1" applyAlignment="1">
      <alignment vertical="center"/>
    </xf>
    <xf numFmtId="0" fontId="3" fillId="4" borderId="15" xfId="0" applyFont="1" applyFill="1" applyBorder="1" applyAlignment="1">
      <alignment vertical="center"/>
    </xf>
    <xf numFmtId="0" fontId="0" fillId="6" borderId="15" xfId="0" applyFill="1" applyBorder="1"/>
    <xf numFmtId="0" fontId="0" fillId="4" borderId="15" xfId="0" applyFill="1" applyBorder="1" applyAlignment="1">
      <alignment vertical="center"/>
    </xf>
    <xf numFmtId="0" fontId="14" fillId="7" borderId="0" xfId="0" applyFont="1" applyFill="1" applyAlignment="1" applyProtection="1">
      <alignment vertical="center"/>
      <protection locked="0"/>
    </xf>
    <xf numFmtId="0" fontId="3" fillId="4" borderId="0" xfId="0" applyFont="1" applyFill="1" applyAlignment="1">
      <alignment horizontal="center" vertical="center"/>
    </xf>
    <xf numFmtId="0" fontId="0" fillId="0" borderId="17" xfId="0" applyBorder="1"/>
    <xf numFmtId="0" fontId="1" fillId="6" borderId="0" xfId="0" applyFont="1" applyFill="1" applyAlignment="1">
      <alignment horizontal="center" vertical="center"/>
    </xf>
    <xf numFmtId="0" fontId="2" fillId="0" borderId="0" xfId="0" applyFont="1" applyAlignment="1">
      <alignment horizontal="center" vertical="center"/>
    </xf>
    <xf numFmtId="22" fontId="2" fillId="0" borderId="0" xfId="0" applyNumberFormat="1" applyFont="1" applyAlignment="1">
      <alignment horizontal="center" vertical="center"/>
    </xf>
    <xf numFmtId="10" fontId="16" fillId="0" borderId="0" xfId="0" applyNumberFormat="1" applyFont="1" applyAlignment="1">
      <alignment horizontal="center"/>
    </xf>
    <xf numFmtId="0" fontId="15" fillId="6" borderId="0" xfId="0" applyFont="1" applyFill="1" applyAlignment="1">
      <alignment horizontal="center" vertical="center"/>
    </xf>
    <xf numFmtId="0" fontId="6" fillId="4" borderId="20" xfId="0" applyFont="1" applyFill="1" applyBorder="1" applyAlignment="1" applyProtection="1">
      <alignment horizontal="center" vertical="center"/>
      <protection locked="0"/>
    </xf>
    <xf numFmtId="0" fontId="1" fillId="4" borderId="0" xfId="0" applyFont="1" applyFill="1" applyAlignment="1">
      <alignment vertical="center"/>
    </xf>
    <xf numFmtId="0" fontId="0" fillId="7" borderId="16" xfId="0" applyFill="1" applyBorder="1"/>
    <xf numFmtId="0" fontId="0" fillId="7" borderId="14" xfId="0" applyFill="1" applyBorder="1"/>
    <xf numFmtId="0" fontId="24" fillId="0" borderId="0" xfId="0" applyFont="1"/>
    <xf numFmtId="0" fontId="24" fillId="0" borderId="10" xfId="0" applyFont="1" applyBorder="1" applyAlignment="1" applyProtection="1">
      <alignment horizontal="center" vertical="center"/>
      <protection locked="0"/>
    </xf>
    <xf numFmtId="0" fontId="24" fillId="0" borderId="0" xfId="0" applyFont="1" applyAlignment="1">
      <alignment vertical="center"/>
    </xf>
    <xf numFmtId="0" fontId="5" fillId="0" borderId="17" xfId="0" applyFont="1" applyBorder="1" applyAlignment="1" applyProtection="1">
      <alignment horizontal="center" vertical="center"/>
      <protection locked="0"/>
    </xf>
    <xf numFmtId="0" fontId="16" fillId="0" borderId="0" xfId="0" applyFont="1" applyAlignment="1">
      <alignment horizontal="center" vertical="center"/>
    </xf>
    <xf numFmtId="0" fontId="16" fillId="7" borderId="15" xfId="0" applyFont="1" applyFill="1" applyBorder="1" applyAlignment="1">
      <alignment horizontal="center"/>
    </xf>
    <xf numFmtId="0" fontId="16" fillId="6" borderId="15" xfId="0" applyFont="1" applyFill="1" applyBorder="1" applyAlignment="1">
      <alignment horizontal="center"/>
    </xf>
    <xf numFmtId="0" fontId="0" fillId="5" borderId="0" xfId="0" applyFill="1" applyAlignment="1">
      <alignment horizontal="center"/>
    </xf>
    <xf numFmtId="0" fontId="0" fillId="7" borderId="0" xfId="0" applyFill="1" applyAlignment="1">
      <alignment horizontal="center"/>
    </xf>
    <xf numFmtId="0" fontId="0" fillId="5" borderId="0" xfId="0" applyFill="1"/>
    <xf numFmtId="0" fontId="0" fillId="5" borderId="15" xfId="0" applyFill="1" applyBorder="1"/>
    <xf numFmtId="0" fontId="16" fillId="7" borderId="16" xfId="0" applyFont="1" applyFill="1" applyBorder="1"/>
    <xf numFmtId="0" fontId="16" fillId="0" borderId="31" xfId="0" applyFont="1" applyBorder="1"/>
    <xf numFmtId="0" fontId="16" fillId="0" borderId="1" xfId="0" applyFont="1" applyBorder="1" applyAlignment="1">
      <alignment horizontal="center"/>
    </xf>
    <xf numFmtId="0" fontId="16" fillId="0" borderId="1" xfId="0" applyFont="1" applyBorder="1"/>
    <xf numFmtId="0" fontId="16" fillId="0" borderId="32" xfId="0" applyFont="1" applyBorder="1"/>
    <xf numFmtId="0" fontId="0" fillId="6" borderId="34" xfId="0" applyFill="1" applyBorder="1"/>
    <xf numFmtId="0" fontId="16" fillId="7" borderId="0" xfId="0" applyFont="1" applyFill="1"/>
    <xf numFmtId="0" fontId="16" fillId="7" borderId="34" xfId="0" applyFont="1" applyFill="1" applyBorder="1"/>
    <xf numFmtId="0" fontId="16" fillId="7" borderId="34" xfId="0" applyFont="1" applyFill="1" applyBorder="1" applyAlignment="1">
      <alignment horizontal="center"/>
    </xf>
    <xf numFmtId="0" fontId="16" fillId="6" borderId="34" xfId="0" applyFont="1" applyFill="1" applyBorder="1" applyAlignment="1">
      <alignment horizontal="center"/>
    </xf>
    <xf numFmtId="0" fontId="0" fillId="7" borderId="40" xfId="0" applyFill="1" applyBorder="1"/>
    <xf numFmtId="0" fontId="16" fillId="7" borderId="40" xfId="0" applyFont="1" applyFill="1" applyBorder="1" applyAlignment="1">
      <alignment horizontal="center"/>
    </xf>
    <xf numFmtId="0" fontId="24" fillId="0" borderId="0" xfId="0" applyFont="1" applyAlignment="1">
      <alignment horizontal="center"/>
    </xf>
    <xf numFmtId="0" fontId="24" fillId="7" borderId="0" xfId="0" applyFont="1" applyFill="1" applyAlignment="1">
      <alignment horizontal="center"/>
    </xf>
    <xf numFmtId="0" fontId="22" fillId="4" borderId="30" xfId="0" applyFont="1" applyFill="1" applyBorder="1" applyAlignment="1" applyProtection="1">
      <alignment horizontal="center" vertical="center"/>
      <protection locked="0"/>
    </xf>
    <xf numFmtId="0" fontId="19" fillId="0" borderId="1" xfId="0" applyFont="1" applyBorder="1" applyAlignment="1" applyProtection="1">
      <alignment horizontal="center" vertical="center"/>
      <protection locked="0"/>
    </xf>
    <xf numFmtId="0" fontId="23" fillId="0" borderId="1" xfId="0" applyFont="1" applyBorder="1" applyAlignment="1">
      <alignment horizontal="center" vertical="center"/>
    </xf>
    <xf numFmtId="22" fontId="23" fillId="0" borderId="1" xfId="0" applyNumberFormat="1" applyFont="1" applyBorder="1" applyAlignment="1">
      <alignment horizontal="center" vertical="center"/>
    </xf>
    <xf numFmtId="0" fontId="24" fillId="0" borderId="34" xfId="0" applyFont="1" applyBorder="1" applyAlignment="1">
      <alignment horizontal="center" vertical="center"/>
    </xf>
    <xf numFmtId="0" fontId="20" fillId="6" borderId="0" xfId="0" applyFont="1" applyFill="1" applyAlignment="1">
      <alignment horizontal="center" vertical="center"/>
    </xf>
    <xf numFmtId="10" fontId="24" fillId="0" borderId="0" xfId="0" applyNumberFormat="1" applyFont="1" applyAlignment="1">
      <alignment horizontal="center"/>
    </xf>
    <xf numFmtId="0" fontId="24" fillId="6" borderId="0" xfId="0" applyFont="1" applyFill="1"/>
    <xf numFmtId="0" fontId="24" fillId="7" borderId="0" xfId="0" applyFont="1" applyFill="1"/>
    <xf numFmtId="0" fontId="24" fillId="7" borderId="34" xfId="0" applyFont="1" applyFill="1" applyBorder="1"/>
    <xf numFmtId="0" fontId="24" fillId="6" borderId="34" xfId="0" applyFont="1" applyFill="1" applyBorder="1"/>
    <xf numFmtId="0" fontId="24" fillId="4" borderId="2" xfId="0" applyFont="1" applyFill="1" applyBorder="1" applyAlignment="1">
      <alignment vertical="center"/>
    </xf>
    <xf numFmtId="0" fontId="24" fillId="4" borderId="0" xfId="0" applyFont="1" applyFill="1" applyAlignment="1">
      <alignment vertical="center"/>
    </xf>
    <xf numFmtId="0" fontId="24" fillId="4" borderId="0" xfId="0" applyFont="1" applyFill="1"/>
    <xf numFmtId="0" fontId="24" fillId="4" borderId="34" xfId="0" applyFont="1" applyFill="1" applyBorder="1"/>
    <xf numFmtId="0" fontId="5" fillId="0" borderId="3" xfId="0" applyFont="1" applyBorder="1" applyAlignment="1" applyProtection="1">
      <alignment vertical="center"/>
      <protection locked="0"/>
    </xf>
    <xf numFmtId="0" fontId="5" fillId="0" borderId="0" xfId="0" applyFont="1" applyAlignment="1" applyProtection="1">
      <alignment vertical="center"/>
      <protection locked="0"/>
    </xf>
    <xf numFmtId="0" fontId="7" fillId="0" borderId="3" xfId="0" applyFont="1" applyBorder="1" applyAlignment="1" applyProtection="1">
      <alignment vertical="center"/>
      <protection locked="0"/>
    </xf>
    <xf numFmtId="0" fontId="7" fillId="0" borderId="0" xfId="0" applyFont="1" applyAlignment="1" applyProtection="1">
      <alignment vertical="center"/>
      <protection locked="0"/>
    </xf>
    <xf numFmtId="0" fontId="5" fillId="0" borderId="24" xfId="0" applyFont="1" applyBorder="1" applyAlignment="1" applyProtection="1">
      <alignment vertical="center"/>
      <protection locked="0"/>
    </xf>
    <xf numFmtId="0" fontId="5" fillId="0" borderId="17" xfId="0" applyFont="1" applyBorder="1" applyAlignment="1" applyProtection="1">
      <alignment vertical="center"/>
      <protection locked="0"/>
    </xf>
    <xf numFmtId="0" fontId="16" fillId="0" borderId="17" xfId="0" applyFont="1" applyBorder="1"/>
    <xf numFmtId="0" fontId="16" fillId="6" borderId="0" xfId="0" applyFont="1" applyFill="1"/>
    <xf numFmtId="0" fontId="16" fillId="5" borderId="0" xfId="0" applyFont="1" applyFill="1"/>
    <xf numFmtId="0" fontId="16" fillId="4" borderId="0" xfId="0" applyFont="1" applyFill="1"/>
    <xf numFmtId="0" fontId="16" fillId="0" borderId="43" xfId="0" applyFont="1" applyBorder="1"/>
    <xf numFmtId="0" fontId="16" fillId="0" borderId="2" xfId="0" applyFont="1" applyBorder="1"/>
    <xf numFmtId="0" fontId="16" fillId="0" borderId="34" xfId="0" applyFont="1" applyBorder="1"/>
    <xf numFmtId="0" fontId="0" fillId="6" borderId="2" xfId="0" applyFill="1" applyBorder="1"/>
    <xf numFmtId="0" fontId="16" fillId="7" borderId="2" xfId="0" applyFont="1" applyFill="1" applyBorder="1"/>
    <xf numFmtId="0" fontId="16" fillId="6" borderId="2" xfId="0" applyFont="1" applyFill="1" applyBorder="1"/>
    <xf numFmtId="0" fontId="16" fillId="6" borderId="34" xfId="0" applyFont="1" applyFill="1" applyBorder="1"/>
    <xf numFmtId="0" fontId="16" fillId="4" borderId="2" xfId="0" applyFont="1" applyFill="1" applyBorder="1"/>
    <xf numFmtId="0" fontId="16" fillId="4" borderId="34" xfId="0" applyFont="1" applyFill="1" applyBorder="1"/>
    <xf numFmtId="0" fontId="16" fillId="5" borderId="2" xfId="0" applyFont="1" applyFill="1" applyBorder="1"/>
    <xf numFmtId="0" fontId="16" fillId="5" borderId="34" xfId="0" applyFont="1" applyFill="1" applyBorder="1"/>
    <xf numFmtId="0" fontId="16" fillId="7" borderId="39" xfId="0" applyFont="1" applyFill="1" applyBorder="1"/>
    <xf numFmtId="0" fontId="16" fillId="7" borderId="40" xfId="0" applyFont="1" applyFill="1" applyBorder="1"/>
    <xf numFmtId="0" fontId="16" fillId="7" borderId="42" xfId="0" applyFont="1" applyFill="1" applyBorder="1"/>
    <xf numFmtId="0" fontId="7" fillId="4" borderId="16" xfId="0" applyFont="1" applyFill="1" applyBorder="1" applyAlignment="1" applyProtection="1">
      <alignment horizontal="center" vertical="center"/>
      <protection locked="0"/>
    </xf>
    <xf numFmtId="164" fontId="8" fillId="4" borderId="16" xfId="0" applyNumberFormat="1" applyFont="1" applyFill="1" applyBorder="1" applyAlignment="1">
      <alignment horizontal="center" vertical="center"/>
    </xf>
    <xf numFmtId="0" fontId="0" fillId="4" borderId="16" xfId="0" applyFill="1" applyBorder="1" applyAlignment="1">
      <alignment vertical="center"/>
    </xf>
    <xf numFmtId="0" fontId="0" fillId="0" borderId="43" xfId="0" applyBorder="1"/>
    <xf numFmtId="0" fontId="0" fillId="0" borderId="1" xfId="0" applyBorder="1"/>
    <xf numFmtId="0" fontId="0" fillId="0" borderId="32" xfId="0" applyBorder="1"/>
    <xf numFmtId="0" fontId="0" fillId="0" borderId="2" xfId="0" applyBorder="1"/>
    <xf numFmtId="0" fontId="0" fillId="0" borderId="34" xfId="0" applyBorder="1"/>
    <xf numFmtId="0" fontId="0" fillId="4" borderId="2" xfId="0" applyFill="1" applyBorder="1"/>
    <xf numFmtId="0" fontId="0" fillId="4" borderId="0" xfId="0" applyFill="1"/>
    <xf numFmtId="0" fontId="0" fillId="7" borderId="2" xfId="0" applyFill="1" applyBorder="1"/>
    <xf numFmtId="0" fontId="0" fillId="7" borderId="34" xfId="0" applyFill="1" applyBorder="1"/>
    <xf numFmtId="0" fontId="0" fillId="4" borderId="34" xfId="0" applyFill="1" applyBorder="1"/>
    <xf numFmtId="0" fontId="0" fillId="5" borderId="2" xfId="0" applyFill="1" applyBorder="1"/>
    <xf numFmtId="0" fontId="0" fillId="5" borderId="34" xfId="0" applyFill="1" applyBorder="1"/>
    <xf numFmtId="0" fontId="0" fillId="4" borderId="45" xfId="0" applyFill="1" applyBorder="1"/>
    <xf numFmtId="0" fontId="0" fillId="4" borderId="17" xfId="0" applyFill="1" applyBorder="1"/>
    <xf numFmtId="0" fontId="0" fillId="4" borderId="48" xfId="0" applyFill="1" applyBorder="1"/>
    <xf numFmtId="0" fontId="0" fillId="5" borderId="18" xfId="0" applyFill="1" applyBorder="1"/>
    <xf numFmtId="0" fontId="16" fillId="7" borderId="18" xfId="0" applyFont="1" applyFill="1" applyBorder="1"/>
    <xf numFmtId="0" fontId="16" fillId="7" borderId="15" xfId="0" applyFont="1" applyFill="1" applyBorder="1"/>
    <xf numFmtId="0" fontId="0" fillId="6" borderId="18" xfId="0" applyFill="1" applyBorder="1"/>
    <xf numFmtId="0" fontId="0" fillId="4" borderId="18" xfId="0" applyFill="1" applyBorder="1"/>
    <xf numFmtId="0" fontId="0" fillId="4" borderId="15" xfId="0" applyFill="1" applyBorder="1"/>
    <xf numFmtId="0" fontId="16" fillId="7" borderId="49" xfId="0" applyFont="1" applyFill="1" applyBorder="1"/>
    <xf numFmtId="0" fontId="16" fillId="7" borderId="14" xfId="0" applyFont="1" applyFill="1" applyBorder="1"/>
    <xf numFmtId="0" fontId="0" fillId="0" borderId="45" xfId="0" applyBorder="1"/>
    <xf numFmtId="0" fontId="24" fillId="0" borderId="43" xfId="0" applyFont="1" applyBorder="1"/>
    <xf numFmtId="0" fontId="24" fillId="0" borderId="1" xfId="0" applyFont="1" applyBorder="1"/>
    <xf numFmtId="0" fontId="24" fillId="0" borderId="32" xfId="0" applyFont="1" applyBorder="1"/>
    <xf numFmtId="0" fontId="24" fillId="0" borderId="2" xfId="0" applyFont="1" applyBorder="1"/>
    <xf numFmtId="0" fontId="24" fillId="0" borderId="34" xfId="0" applyFont="1" applyBorder="1"/>
    <xf numFmtId="0" fontId="24" fillId="6" borderId="2" xfId="0" applyFont="1" applyFill="1" applyBorder="1"/>
    <xf numFmtId="0" fontId="24" fillId="7" borderId="2" xfId="0" applyFont="1" applyFill="1" applyBorder="1"/>
    <xf numFmtId="0" fontId="24" fillId="4" borderId="2" xfId="0" applyFont="1" applyFill="1" applyBorder="1"/>
    <xf numFmtId="0" fontId="24" fillId="5" borderId="2" xfId="0" applyFont="1" applyFill="1" applyBorder="1"/>
    <xf numFmtId="0" fontId="24" fillId="5" borderId="0" xfId="0" applyFont="1" applyFill="1"/>
    <xf numFmtId="0" fontId="24" fillId="5" borderId="34" xfId="0" applyFont="1" applyFill="1" applyBorder="1"/>
    <xf numFmtId="0" fontId="24" fillId="7" borderId="39" xfId="0" applyFont="1" applyFill="1" applyBorder="1"/>
    <xf numFmtId="0" fontId="24" fillId="7" borderId="40" xfId="0" applyFont="1" applyFill="1" applyBorder="1"/>
    <xf numFmtId="0" fontId="24" fillId="7" borderId="42" xfId="0" applyFont="1" applyFill="1" applyBorder="1"/>
    <xf numFmtId="0" fontId="16" fillId="6" borderId="2" xfId="0" applyFont="1" applyFill="1" applyBorder="1" applyAlignment="1">
      <alignment horizontal="center"/>
    </xf>
    <xf numFmtId="0" fontId="16" fillId="4" borderId="39" xfId="0" applyFont="1" applyFill="1" applyBorder="1"/>
    <xf numFmtId="0" fontId="16" fillId="4" borderId="40" xfId="0" applyFont="1" applyFill="1" applyBorder="1"/>
    <xf numFmtId="0" fontId="16" fillId="4" borderId="42" xfId="0" applyFont="1" applyFill="1" applyBorder="1"/>
    <xf numFmtId="0" fontId="16" fillId="0" borderId="10" xfId="0" applyFont="1" applyBorder="1" applyAlignment="1">
      <alignment horizontal="center"/>
    </xf>
    <xf numFmtId="0" fontId="16" fillId="7" borderId="0" xfId="0" applyFont="1" applyFill="1" applyAlignment="1">
      <alignment horizontal="center"/>
    </xf>
    <xf numFmtId="0" fontId="16" fillId="0" borderId="5" xfId="0" applyFont="1" applyBorder="1" applyAlignment="1">
      <alignment horizontal="center"/>
    </xf>
    <xf numFmtId="0" fontId="16" fillId="0" borderId="7" xfId="0" applyFont="1" applyBorder="1" applyAlignment="1">
      <alignment horizontal="center"/>
    </xf>
    <xf numFmtId="0" fontId="15" fillId="0" borderId="0" xfId="0" applyFont="1" applyAlignment="1">
      <alignment horizontal="center" vertical="center"/>
    </xf>
    <xf numFmtId="22" fontId="16" fillId="7" borderId="3" xfId="0" applyNumberFormat="1" applyFont="1" applyFill="1" applyBorder="1" applyAlignment="1">
      <alignment horizontal="center"/>
    </xf>
    <xf numFmtId="0" fontId="16" fillId="7" borderId="3" xfId="0" applyFont="1" applyFill="1" applyBorder="1" applyAlignment="1">
      <alignment horizontal="center"/>
    </xf>
    <xf numFmtId="22" fontId="16" fillId="7" borderId="0" xfId="0" applyNumberFormat="1" applyFont="1" applyFill="1" applyAlignment="1">
      <alignment horizontal="center"/>
    </xf>
    <xf numFmtId="22" fontId="16" fillId="7" borderId="6" xfId="0" applyNumberFormat="1" applyFont="1" applyFill="1" applyBorder="1" applyAlignment="1">
      <alignment horizontal="center"/>
    </xf>
    <xf numFmtId="0" fontId="16" fillId="7" borderId="6" xfId="0" applyFont="1" applyFill="1" applyBorder="1" applyAlignment="1">
      <alignment horizontal="center"/>
    </xf>
    <xf numFmtId="0" fontId="16" fillId="6" borderId="0" xfId="0" applyFont="1" applyFill="1" applyAlignment="1">
      <alignment horizontal="center"/>
    </xf>
    <xf numFmtId="0" fontId="15" fillId="5" borderId="38" xfId="0" applyFont="1" applyFill="1" applyBorder="1" applyAlignment="1">
      <alignment horizontal="center" vertical="center"/>
    </xf>
    <xf numFmtId="0" fontId="15" fillId="5" borderId="9" xfId="0" applyFont="1" applyFill="1" applyBorder="1" applyAlignment="1">
      <alignment horizontal="center" vertical="center"/>
    </xf>
    <xf numFmtId="0" fontId="17" fillId="5" borderId="33" xfId="0" applyFont="1" applyFill="1" applyBorder="1" applyAlignment="1">
      <alignment horizontal="left" vertical="center"/>
    </xf>
    <xf numFmtId="0" fontId="17" fillId="5" borderId="10" xfId="0" applyFont="1" applyFill="1" applyBorder="1" applyAlignment="1">
      <alignment horizontal="left" vertical="center"/>
    </xf>
    <xf numFmtId="0" fontId="15" fillId="7" borderId="10" xfId="0" applyFont="1" applyFill="1" applyBorder="1" applyAlignment="1">
      <alignment horizontal="center" vertical="center"/>
    </xf>
    <xf numFmtId="22" fontId="16" fillId="6" borderId="0" xfId="0" applyNumberFormat="1" applyFont="1" applyFill="1" applyAlignment="1">
      <alignment horizontal="center"/>
    </xf>
    <xf numFmtId="20" fontId="15" fillId="6" borderId="27" xfId="0" applyNumberFormat="1" applyFont="1" applyFill="1" applyBorder="1" applyAlignment="1">
      <alignment horizontal="center" vertical="center"/>
    </xf>
    <xf numFmtId="0" fontId="15" fillId="6" borderId="4" xfId="0" applyFont="1" applyFill="1" applyBorder="1" applyAlignment="1">
      <alignment horizontal="center" vertical="center"/>
    </xf>
    <xf numFmtId="0" fontId="15" fillId="6" borderId="28" xfId="0" applyFont="1" applyFill="1" applyBorder="1" applyAlignment="1">
      <alignment horizontal="center" vertical="center"/>
    </xf>
    <xf numFmtId="0" fontId="15" fillId="6" borderId="11" xfId="0" applyFont="1" applyFill="1" applyBorder="1" applyAlignment="1">
      <alignment horizontal="center" vertical="center"/>
    </xf>
    <xf numFmtId="0" fontId="16" fillId="5" borderId="13" xfId="0" applyFont="1" applyFill="1" applyBorder="1" applyAlignment="1">
      <alignment horizontal="center"/>
    </xf>
    <xf numFmtId="0" fontId="16" fillId="5" borderId="0" xfId="0" applyFont="1" applyFill="1" applyAlignment="1">
      <alignment horizontal="center"/>
    </xf>
    <xf numFmtId="0" fontId="15" fillId="6" borderId="33" xfId="0" applyFont="1" applyFill="1" applyBorder="1" applyAlignment="1">
      <alignment horizontal="left" vertical="center"/>
    </xf>
    <xf numFmtId="0" fontId="15" fillId="6" borderId="10" xfId="0" applyFont="1" applyFill="1" applyBorder="1" applyAlignment="1">
      <alignment horizontal="left" vertical="center"/>
    </xf>
    <xf numFmtId="0" fontId="15" fillId="6" borderId="37" xfId="0" applyFont="1" applyFill="1" applyBorder="1" applyAlignment="1">
      <alignment horizontal="left" vertical="center"/>
    </xf>
    <xf numFmtId="0" fontId="15" fillId="6" borderId="26" xfId="0" applyFont="1" applyFill="1" applyBorder="1" applyAlignment="1">
      <alignment horizontal="left" vertical="center"/>
    </xf>
    <xf numFmtId="0" fontId="16" fillId="4" borderId="2" xfId="0" applyFont="1" applyFill="1" applyBorder="1" applyAlignment="1">
      <alignment horizontal="center" vertical="center"/>
    </xf>
    <xf numFmtId="0" fontId="16" fillId="4" borderId="0" xfId="0" applyFont="1" applyFill="1" applyAlignment="1">
      <alignment horizontal="center" vertical="center"/>
    </xf>
    <xf numFmtId="0" fontId="15" fillId="6" borderId="35" xfId="0" applyFont="1" applyFill="1" applyBorder="1" applyAlignment="1">
      <alignment horizontal="left" vertical="center"/>
    </xf>
    <xf numFmtId="0" fontId="15" fillId="6" borderId="3" xfId="0" applyFont="1" applyFill="1" applyBorder="1" applyAlignment="1">
      <alignment horizontal="left" vertical="center"/>
    </xf>
    <xf numFmtId="0" fontId="15" fillId="6" borderId="4" xfId="0" applyFont="1" applyFill="1" applyBorder="1" applyAlignment="1">
      <alignment horizontal="left" vertical="center"/>
    </xf>
    <xf numFmtId="0" fontId="15" fillId="6" borderId="36" xfId="0" applyFont="1" applyFill="1" applyBorder="1" applyAlignment="1">
      <alignment horizontal="left" vertical="center"/>
    </xf>
    <xf numFmtId="0" fontId="15" fillId="6" borderId="8" xfId="0" applyFont="1" applyFill="1" applyBorder="1" applyAlignment="1">
      <alignment horizontal="left" vertical="center"/>
    </xf>
    <xf numFmtId="0" fontId="15" fillId="6" borderId="11" xfId="0" applyFont="1" applyFill="1" applyBorder="1" applyAlignment="1">
      <alignment horizontal="left" vertical="center"/>
    </xf>
    <xf numFmtId="0" fontId="6" fillId="7" borderId="33" xfId="0" applyFont="1" applyFill="1" applyBorder="1" applyAlignment="1">
      <alignment vertical="top"/>
    </xf>
    <xf numFmtId="0" fontId="6" fillId="7" borderId="10" xfId="0" applyFont="1" applyFill="1" applyBorder="1" applyAlignment="1">
      <alignment vertical="top"/>
    </xf>
    <xf numFmtId="0" fontId="5" fillId="7" borderId="2" xfId="0" applyFont="1" applyFill="1" applyBorder="1" applyAlignment="1">
      <alignment vertical="top"/>
    </xf>
    <xf numFmtId="0" fontId="5" fillId="7" borderId="0" xfId="0" applyFont="1" applyFill="1" applyAlignment="1">
      <alignment vertical="top"/>
    </xf>
    <xf numFmtId="0" fontId="5" fillId="7" borderId="12" xfId="0" applyFont="1" applyFill="1" applyBorder="1" applyAlignment="1">
      <alignment vertical="top"/>
    </xf>
    <xf numFmtId="0" fontId="5" fillId="6" borderId="2" xfId="0" applyFont="1" applyFill="1" applyBorder="1" applyAlignment="1">
      <alignment vertical="top"/>
    </xf>
    <xf numFmtId="0" fontId="5" fillId="6" borderId="0" xfId="0" applyFont="1" applyFill="1" applyAlignment="1">
      <alignment vertical="top"/>
    </xf>
    <xf numFmtId="0" fontId="5" fillId="6" borderId="12" xfId="0" applyFont="1" applyFill="1" applyBorder="1" applyAlignment="1">
      <alignment vertical="top"/>
    </xf>
    <xf numFmtId="0" fontId="16" fillId="7" borderId="13" xfId="0" applyFont="1" applyFill="1" applyBorder="1" applyAlignment="1">
      <alignment horizontal="center"/>
    </xf>
    <xf numFmtId="0" fontId="16" fillId="6" borderId="35"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6" borderId="4" xfId="0" applyFont="1" applyFill="1" applyBorder="1" applyAlignment="1">
      <alignment horizontal="left" vertical="center" wrapText="1"/>
    </xf>
    <xf numFmtId="0" fontId="16" fillId="6" borderId="36" xfId="0" applyFont="1" applyFill="1" applyBorder="1" applyAlignment="1">
      <alignment horizontal="left" vertical="center" wrapText="1"/>
    </xf>
    <xf numFmtId="0" fontId="16" fillId="6" borderId="8" xfId="0" applyFont="1" applyFill="1" applyBorder="1" applyAlignment="1">
      <alignment horizontal="left" vertical="center" wrapText="1"/>
    </xf>
    <xf numFmtId="0" fontId="16" fillId="6" borderId="11" xfId="0" applyFont="1" applyFill="1" applyBorder="1" applyAlignment="1">
      <alignment horizontal="left" vertical="center" wrapText="1"/>
    </xf>
    <xf numFmtId="0" fontId="15" fillId="6" borderId="2" xfId="0" applyFont="1" applyFill="1" applyBorder="1" applyAlignment="1">
      <alignment horizontal="left" vertical="center"/>
    </xf>
    <xf numFmtId="0" fontId="15" fillId="6" borderId="0" xfId="0" applyFont="1" applyFill="1" applyAlignment="1">
      <alignment horizontal="left" vertical="center"/>
    </xf>
    <xf numFmtId="0" fontId="15" fillId="6" borderId="12" xfId="0" applyFont="1" applyFill="1" applyBorder="1" applyAlignment="1">
      <alignment horizontal="left" vertical="center"/>
    </xf>
    <xf numFmtId="0" fontId="15" fillId="7" borderId="2" xfId="0" applyFont="1" applyFill="1" applyBorder="1" applyAlignment="1">
      <alignment horizontal="left" vertical="center" wrapText="1"/>
    </xf>
    <xf numFmtId="0" fontId="15" fillId="7" borderId="0" xfId="0" applyFont="1" applyFill="1" applyAlignment="1">
      <alignment horizontal="left" vertical="center" wrapText="1"/>
    </xf>
    <xf numFmtId="0" fontId="15" fillId="7" borderId="12" xfId="0" applyFont="1" applyFill="1" applyBorder="1" applyAlignment="1">
      <alignment horizontal="left" vertical="center" wrapText="1"/>
    </xf>
    <xf numFmtId="0" fontId="15" fillId="7" borderId="33" xfId="0" applyFont="1" applyFill="1" applyBorder="1" applyAlignment="1">
      <alignment horizontal="left" vertical="center" wrapText="1"/>
    </xf>
    <xf numFmtId="0" fontId="15" fillId="7" borderId="10" xfId="0" applyFont="1" applyFill="1" applyBorder="1" applyAlignment="1">
      <alignment horizontal="left" vertical="center" wrapText="1"/>
    </xf>
    <xf numFmtId="0" fontId="15" fillId="5" borderId="38" xfId="0" applyFont="1" applyFill="1" applyBorder="1" applyAlignment="1">
      <alignment horizontal="center"/>
    </xf>
    <xf numFmtId="0" fontId="15" fillId="5" borderId="9" xfId="0" applyFont="1" applyFill="1" applyBorder="1" applyAlignment="1">
      <alignment horizontal="center"/>
    </xf>
    <xf numFmtId="0" fontId="6" fillId="7" borderId="33" xfId="0" applyFont="1" applyFill="1" applyBorder="1" applyAlignment="1">
      <alignment horizontal="left" vertical="top"/>
    </xf>
    <xf numFmtId="0" fontId="6" fillId="7" borderId="10" xfId="0" applyFont="1" applyFill="1" applyBorder="1" applyAlignment="1">
      <alignment horizontal="left" vertical="top"/>
    </xf>
    <xf numFmtId="0" fontId="5" fillId="7" borderId="2" xfId="0" applyFont="1" applyFill="1" applyBorder="1" applyAlignment="1">
      <alignment horizontal="left" vertical="top"/>
    </xf>
    <xf numFmtId="0" fontId="5" fillId="7" borderId="0" xfId="0" applyFont="1" applyFill="1" applyAlignment="1">
      <alignment horizontal="left" vertical="top"/>
    </xf>
    <xf numFmtId="0" fontId="5" fillId="7" borderId="12" xfId="0" applyFont="1" applyFill="1" applyBorder="1" applyAlignment="1">
      <alignment horizontal="left" vertical="top"/>
    </xf>
    <xf numFmtId="0" fontId="16" fillId="7" borderId="40" xfId="0" applyFont="1" applyFill="1" applyBorder="1" applyAlignment="1">
      <alignment horizontal="center"/>
    </xf>
    <xf numFmtId="0" fontId="15" fillId="7" borderId="35" xfId="0" applyFont="1" applyFill="1" applyBorder="1" applyAlignment="1">
      <alignment vertical="center"/>
    </xf>
    <xf numFmtId="0" fontId="15" fillId="7" borderId="3" xfId="0" applyFont="1" applyFill="1" applyBorder="1" applyAlignment="1">
      <alignment vertical="center"/>
    </xf>
    <xf numFmtId="0" fontId="15" fillId="7" borderId="4" xfId="0" applyFont="1" applyFill="1" applyBorder="1" applyAlignment="1">
      <alignment vertical="center"/>
    </xf>
    <xf numFmtId="0" fontId="15" fillId="7" borderId="36" xfId="0" applyFont="1" applyFill="1" applyBorder="1" applyAlignment="1">
      <alignment vertical="center"/>
    </xf>
    <xf numFmtId="0" fontId="15" fillId="7" borderId="8" xfId="0" applyFont="1" applyFill="1" applyBorder="1" applyAlignment="1">
      <alignment vertical="center"/>
    </xf>
    <xf numFmtId="0" fontId="15" fillId="7" borderId="11" xfId="0" applyFont="1" applyFill="1" applyBorder="1" applyAlignment="1">
      <alignment vertical="center"/>
    </xf>
    <xf numFmtId="0" fontId="16" fillId="6" borderId="33" xfId="0" applyFont="1" applyFill="1" applyBorder="1" applyAlignment="1">
      <alignment horizontal="left" vertical="center" wrapText="1"/>
    </xf>
    <xf numFmtId="0" fontId="16" fillId="6" borderId="10" xfId="0" applyFont="1" applyFill="1" applyBorder="1" applyAlignment="1">
      <alignment horizontal="left" vertical="center" wrapText="1"/>
    </xf>
    <xf numFmtId="0" fontId="5" fillId="7" borderId="39" xfId="0" applyFont="1" applyFill="1" applyBorder="1" applyAlignment="1">
      <alignment vertical="top"/>
    </xf>
    <xf numFmtId="0" fontId="5" fillId="7" borderId="40" xfId="0" applyFont="1" applyFill="1" applyBorder="1" applyAlignment="1">
      <alignment vertical="top"/>
    </xf>
    <xf numFmtId="0" fontId="5" fillId="7" borderId="41" xfId="0" applyFont="1" applyFill="1" applyBorder="1" applyAlignment="1">
      <alignment vertical="top"/>
    </xf>
    <xf numFmtId="0" fontId="16" fillId="4" borderId="2" xfId="0" applyFont="1" applyFill="1" applyBorder="1" applyAlignment="1">
      <alignment horizontal="center"/>
    </xf>
    <xf numFmtId="0" fontId="16" fillId="4" borderId="0" xfId="0" applyFont="1" applyFill="1" applyAlignment="1">
      <alignment horizontal="center"/>
    </xf>
    <xf numFmtId="0" fontId="6" fillId="6" borderId="33" xfId="0" applyFont="1" applyFill="1" applyBorder="1" applyAlignment="1">
      <alignment vertical="top"/>
    </xf>
    <xf numFmtId="0" fontId="6" fillId="6" borderId="10" xfId="0" applyFont="1" applyFill="1" applyBorder="1" applyAlignment="1">
      <alignment vertical="top"/>
    </xf>
    <xf numFmtId="0" fontId="6" fillId="6" borderId="5" xfId="0" applyFont="1" applyFill="1" applyBorder="1" applyAlignment="1">
      <alignment vertical="top"/>
    </xf>
    <xf numFmtId="0" fontId="16" fillId="0" borderId="17" xfId="0" applyFont="1" applyBorder="1" applyAlignment="1">
      <alignment horizontal="center" vertical="center"/>
    </xf>
    <xf numFmtId="0" fontId="16" fillId="0" borderId="0" xfId="0" applyFont="1" applyAlignment="1">
      <alignment horizontal="center" vertical="center"/>
    </xf>
    <xf numFmtId="0" fontId="5" fillId="0" borderId="0" xfId="0" applyFont="1" applyAlignment="1" applyProtection="1">
      <alignment horizontal="center" vertical="center"/>
      <protection locked="0"/>
    </xf>
    <xf numFmtId="0" fontId="28" fillId="2" borderId="19" xfId="1" applyFont="1" applyFill="1" applyBorder="1" applyAlignment="1">
      <alignment horizontal="center" vertical="center"/>
    </xf>
    <xf numFmtId="0" fontId="28" fillId="2" borderId="20" xfId="1" applyFont="1" applyFill="1" applyBorder="1" applyAlignment="1">
      <alignment horizontal="center" vertical="center"/>
    </xf>
    <xf numFmtId="0" fontId="28" fillId="2" borderId="25" xfId="1" applyFont="1" applyFill="1" applyBorder="1" applyAlignment="1">
      <alignment horizontal="center" vertical="center"/>
    </xf>
    <xf numFmtId="0" fontId="28" fillId="2" borderId="10" xfId="1" applyFont="1" applyFill="1" applyBorder="1" applyAlignment="1">
      <alignment horizontal="center" vertical="center"/>
    </xf>
    <xf numFmtId="0" fontId="15" fillId="5" borderId="29" xfId="0" applyFont="1" applyFill="1" applyBorder="1" applyAlignment="1">
      <alignment horizontal="center" vertical="center"/>
    </xf>
    <xf numFmtId="0" fontId="15" fillId="5" borderId="30" xfId="0" applyFont="1" applyFill="1" applyBorder="1" applyAlignment="1">
      <alignment horizontal="center" vertical="center"/>
    </xf>
    <xf numFmtId="0" fontId="15" fillId="3" borderId="3" xfId="0" applyFont="1" applyFill="1" applyBorder="1" applyAlignment="1">
      <alignment horizontal="center" vertical="center"/>
    </xf>
    <xf numFmtId="0" fontId="15" fillId="3" borderId="4" xfId="0" applyFont="1" applyFill="1" applyBorder="1" applyAlignment="1">
      <alignment horizontal="center" vertical="center"/>
    </xf>
    <xf numFmtId="0" fontId="15" fillId="3" borderId="8" xfId="0" applyFont="1" applyFill="1" applyBorder="1" applyAlignment="1">
      <alignment horizontal="center" vertical="center"/>
    </xf>
    <xf numFmtId="0" fontId="15" fillId="3" borderId="11" xfId="0" applyFont="1" applyFill="1" applyBorder="1" applyAlignment="1">
      <alignment horizontal="center" vertical="center"/>
    </xf>
    <xf numFmtId="0" fontId="5" fillId="0" borderId="21" xfId="0" applyFont="1" applyBorder="1" applyAlignment="1" applyProtection="1">
      <alignment horizontal="center" vertical="center"/>
      <protection locked="0"/>
    </xf>
    <xf numFmtId="0" fontId="5" fillId="0" borderId="23" xfId="0" applyFont="1" applyBorder="1" applyAlignment="1" applyProtection="1">
      <alignment horizontal="center" vertical="center"/>
      <protection locked="0"/>
    </xf>
    <xf numFmtId="0" fontId="5" fillId="0" borderId="22" xfId="0" applyFont="1" applyBorder="1" applyAlignment="1" applyProtection="1">
      <alignment horizontal="center" vertical="center"/>
      <protection locked="0"/>
    </xf>
    <xf numFmtId="0" fontId="15" fillId="3" borderId="25" xfId="0" applyFont="1" applyFill="1" applyBorder="1" applyAlignment="1">
      <alignment horizontal="center" vertical="center"/>
    </xf>
    <xf numFmtId="0" fontId="15" fillId="3" borderId="10" xfId="0" applyFont="1" applyFill="1" applyBorder="1" applyAlignment="1">
      <alignment horizontal="center" vertical="center"/>
    </xf>
    <xf numFmtId="0" fontId="16" fillId="8" borderId="17" xfId="0" applyFont="1" applyFill="1" applyBorder="1" applyAlignment="1">
      <alignment horizontal="center" vertical="center"/>
    </xf>
    <xf numFmtId="164" fontId="18" fillId="14" borderId="0" xfId="0" applyNumberFormat="1" applyFont="1" applyFill="1" applyAlignment="1">
      <alignment horizontal="center" vertical="center"/>
    </xf>
    <xf numFmtId="0" fontId="6" fillId="9" borderId="3" xfId="0" applyFont="1" applyFill="1" applyBorder="1" applyAlignment="1">
      <alignment horizontal="center" vertical="center"/>
    </xf>
    <xf numFmtId="0" fontId="6" fillId="9" borderId="0" xfId="0" applyFont="1" applyFill="1" applyAlignment="1">
      <alignment horizontal="center" vertical="center"/>
    </xf>
    <xf numFmtId="0" fontId="6" fillId="10" borderId="3" xfId="0" applyFont="1" applyFill="1" applyBorder="1" applyAlignment="1">
      <alignment horizontal="center" vertical="center"/>
    </xf>
    <xf numFmtId="0" fontId="6" fillId="10" borderId="0" xfId="0" applyFont="1" applyFill="1" applyAlignment="1">
      <alignment horizontal="center" vertical="center"/>
    </xf>
    <xf numFmtId="0" fontId="6" fillId="11" borderId="0" xfId="0" applyFont="1" applyFill="1" applyAlignment="1">
      <alignment horizontal="center" vertical="center"/>
    </xf>
    <xf numFmtId="0" fontId="6" fillId="12" borderId="0" xfId="0" applyFont="1" applyFill="1" applyAlignment="1">
      <alignment horizontal="center" vertical="center"/>
    </xf>
    <xf numFmtId="0" fontId="6" fillId="13" borderId="0" xfId="0" applyFont="1" applyFill="1" applyAlignment="1">
      <alignment horizontal="center" vertical="center"/>
    </xf>
    <xf numFmtId="0" fontId="15" fillId="15" borderId="0" xfId="0" applyFont="1" applyFill="1" applyAlignment="1">
      <alignment horizontal="center"/>
    </xf>
    <xf numFmtId="0" fontId="15" fillId="3" borderId="0" xfId="0" applyFont="1" applyFill="1" applyAlignment="1">
      <alignment horizontal="center"/>
    </xf>
    <xf numFmtId="0" fontId="15" fillId="8" borderId="0" xfId="0" applyFont="1" applyFill="1" applyAlignment="1">
      <alignment horizontal="center"/>
    </xf>
    <xf numFmtId="0" fontId="15" fillId="4" borderId="18" xfId="0" applyFont="1" applyFill="1" applyBorder="1" applyAlignment="1">
      <alignment horizontal="center" vertical="center"/>
    </xf>
    <xf numFmtId="0" fontId="15" fillId="4" borderId="0" xfId="0" applyFont="1" applyFill="1" applyAlignment="1">
      <alignment horizontal="center" vertical="center"/>
    </xf>
    <xf numFmtId="0" fontId="15" fillId="6" borderId="33" xfId="0" applyFont="1" applyFill="1" applyBorder="1" applyAlignment="1">
      <alignment horizontal="left" vertical="top" wrapText="1"/>
    </xf>
    <xf numFmtId="0" fontId="15" fillId="6" borderId="10" xfId="0" applyFont="1" applyFill="1" applyBorder="1" applyAlignment="1">
      <alignment horizontal="left" vertical="top" wrapText="1"/>
    </xf>
    <xf numFmtId="20" fontId="15" fillId="6" borderId="10" xfId="0" applyNumberFormat="1" applyFont="1" applyFill="1" applyBorder="1" applyAlignment="1">
      <alignment horizontal="center" vertical="center"/>
    </xf>
    <xf numFmtId="0" fontId="15" fillId="6" borderId="10" xfId="0" applyFont="1" applyFill="1" applyBorder="1" applyAlignment="1">
      <alignment horizontal="center" vertical="center"/>
    </xf>
    <xf numFmtId="0" fontId="16" fillId="0" borderId="5" xfId="0" applyFont="1" applyBorder="1" applyAlignment="1" applyProtection="1">
      <alignment horizontal="center" vertical="center"/>
      <protection locked="0"/>
    </xf>
    <xf numFmtId="0" fontId="16" fillId="0" borderId="7" xfId="0" applyFont="1" applyBorder="1" applyAlignment="1" applyProtection="1">
      <alignment horizontal="center" vertical="center"/>
      <protection locked="0"/>
    </xf>
    <xf numFmtId="20" fontId="15" fillId="6" borderId="4" xfId="0" applyNumberFormat="1" applyFont="1" applyFill="1" applyBorder="1" applyAlignment="1">
      <alignment horizontal="center" vertical="center"/>
    </xf>
    <xf numFmtId="20" fontId="15" fillId="6" borderId="28" xfId="0" applyNumberFormat="1" applyFont="1" applyFill="1" applyBorder="1" applyAlignment="1">
      <alignment horizontal="center" vertical="center"/>
    </xf>
    <xf numFmtId="20" fontId="15" fillId="6" borderId="11" xfId="0" applyNumberFormat="1" applyFont="1" applyFill="1" applyBorder="1" applyAlignment="1">
      <alignment horizontal="center" vertical="center"/>
    </xf>
    <xf numFmtId="0" fontId="15" fillId="7" borderId="33" xfId="0" applyFont="1" applyFill="1" applyBorder="1" applyAlignment="1">
      <alignment horizontal="left" vertical="center"/>
    </xf>
    <xf numFmtId="0" fontId="15" fillId="7" borderId="10" xfId="0" applyFont="1" applyFill="1" applyBorder="1" applyAlignment="1">
      <alignment horizontal="left" vertical="center"/>
    </xf>
    <xf numFmtId="0" fontId="15" fillId="7" borderId="37" xfId="0" applyFont="1" applyFill="1" applyBorder="1" applyAlignment="1">
      <alignment horizontal="left" vertical="center"/>
    </xf>
    <xf numFmtId="0" fontId="15" fillId="7" borderId="26" xfId="0" applyFont="1" applyFill="1" applyBorder="1" applyAlignment="1">
      <alignment horizontal="left" vertical="center"/>
    </xf>
    <xf numFmtId="0" fontId="15" fillId="7" borderId="35" xfId="0" applyFont="1" applyFill="1" applyBorder="1" applyAlignment="1">
      <alignment horizontal="left" vertical="center"/>
    </xf>
    <xf numFmtId="0" fontId="15" fillId="7" borderId="3" xfId="0" applyFont="1" applyFill="1" applyBorder="1" applyAlignment="1">
      <alignment horizontal="left" vertical="center"/>
    </xf>
    <xf numFmtId="0" fontId="15" fillId="7" borderId="36" xfId="0" applyFont="1" applyFill="1" applyBorder="1" applyAlignment="1">
      <alignment horizontal="left" vertical="center"/>
    </xf>
    <xf numFmtId="0" fontId="15" fillId="7" borderId="8" xfId="0" applyFont="1" applyFill="1" applyBorder="1" applyAlignment="1">
      <alignment horizontal="left" vertical="center"/>
    </xf>
    <xf numFmtId="0" fontId="16" fillId="6" borderId="3" xfId="0" applyFont="1" applyFill="1" applyBorder="1" applyAlignment="1">
      <alignment horizontal="center"/>
    </xf>
    <xf numFmtId="22" fontId="16" fillId="6" borderId="3" xfId="0" applyNumberFormat="1" applyFont="1" applyFill="1" applyBorder="1" applyAlignment="1">
      <alignment horizontal="center"/>
    </xf>
    <xf numFmtId="0" fontId="15" fillId="7" borderId="35" xfId="0" applyFont="1" applyFill="1" applyBorder="1" applyAlignment="1">
      <alignment horizontal="left" vertical="center" wrapText="1"/>
    </xf>
    <xf numFmtId="0" fontId="15" fillId="7" borderId="3" xfId="0" applyFont="1" applyFill="1" applyBorder="1" applyAlignment="1">
      <alignment horizontal="left" vertical="center" wrapText="1"/>
    </xf>
    <xf numFmtId="0" fontId="15" fillId="7" borderId="36" xfId="0" applyFont="1" applyFill="1" applyBorder="1" applyAlignment="1">
      <alignment horizontal="left" vertical="center" wrapText="1"/>
    </xf>
    <xf numFmtId="0" fontId="15" fillId="7" borderId="8" xfId="0" applyFont="1" applyFill="1" applyBorder="1" applyAlignment="1">
      <alignment horizontal="left" vertical="center" wrapText="1"/>
    </xf>
    <xf numFmtId="20" fontId="15" fillId="7" borderId="10" xfId="0" applyNumberFormat="1" applyFont="1" applyFill="1" applyBorder="1" applyAlignment="1">
      <alignment horizontal="center" vertical="center" wrapText="1"/>
    </xf>
    <xf numFmtId="0" fontId="15" fillId="7" borderId="10" xfId="0" applyFont="1" applyFill="1" applyBorder="1" applyAlignment="1">
      <alignment horizontal="center" vertical="center" wrapText="1"/>
    </xf>
    <xf numFmtId="0" fontId="27" fillId="7" borderId="0" xfId="1" applyFill="1" applyAlignment="1">
      <alignment horizontal="center"/>
    </xf>
    <xf numFmtId="0" fontId="15" fillId="6" borderId="13" xfId="0" applyFont="1" applyFill="1" applyBorder="1" applyAlignment="1">
      <alignment horizontal="center" vertical="center"/>
    </xf>
    <xf numFmtId="0" fontId="15" fillId="6" borderId="12" xfId="0" applyFont="1" applyFill="1" applyBorder="1" applyAlignment="1">
      <alignment horizontal="center" vertical="center"/>
    </xf>
    <xf numFmtId="18" fontId="15" fillId="7" borderId="27" xfId="0" applyNumberFormat="1" applyFont="1" applyFill="1" applyBorder="1" applyAlignment="1">
      <alignment horizontal="center" vertical="center"/>
    </xf>
    <xf numFmtId="18" fontId="15" fillId="7" borderId="4" xfId="0" applyNumberFormat="1" applyFont="1" applyFill="1" applyBorder="1" applyAlignment="1">
      <alignment horizontal="center" vertical="center"/>
    </xf>
    <xf numFmtId="18" fontId="15" fillId="7" borderId="13" xfId="0" applyNumberFormat="1" applyFont="1" applyFill="1" applyBorder="1" applyAlignment="1">
      <alignment horizontal="center" vertical="center"/>
    </xf>
    <xf numFmtId="18" fontId="15" fillId="7" borderId="12" xfId="0" applyNumberFormat="1" applyFont="1" applyFill="1" applyBorder="1" applyAlignment="1">
      <alignment horizontal="center" vertical="center"/>
    </xf>
    <xf numFmtId="18" fontId="15" fillId="7" borderId="28" xfId="0" applyNumberFormat="1" applyFont="1" applyFill="1" applyBorder="1" applyAlignment="1">
      <alignment horizontal="center" vertical="center"/>
    </xf>
    <xf numFmtId="18" fontId="15" fillId="7" borderId="11" xfId="0" applyNumberFormat="1" applyFont="1" applyFill="1" applyBorder="1" applyAlignment="1">
      <alignment horizontal="center" vertical="center"/>
    </xf>
    <xf numFmtId="0" fontId="17" fillId="5" borderId="2" xfId="0" applyFont="1" applyFill="1" applyBorder="1" applyAlignment="1">
      <alignment horizontal="left" vertical="center"/>
    </xf>
    <xf numFmtId="0" fontId="17" fillId="5" borderId="0" xfId="0" applyFont="1" applyFill="1" applyAlignment="1">
      <alignment horizontal="left" vertical="center"/>
    </xf>
    <xf numFmtId="0" fontId="1" fillId="5" borderId="0" xfId="0" applyFont="1" applyFill="1" applyAlignment="1">
      <alignment horizontal="center" vertical="center"/>
    </xf>
    <xf numFmtId="0" fontId="1" fillId="7" borderId="0" xfId="0" applyFont="1" applyFill="1" applyAlignment="1">
      <alignment horizontal="center" vertical="center"/>
    </xf>
    <xf numFmtId="0" fontId="1" fillId="7" borderId="8" xfId="0" applyFont="1" applyFill="1" applyBorder="1" applyAlignment="1">
      <alignment horizontal="center" vertical="center"/>
    </xf>
    <xf numFmtId="0" fontId="13" fillId="7" borderId="2" xfId="0" applyFont="1" applyFill="1" applyBorder="1" applyAlignment="1">
      <alignment horizontal="left" vertical="center"/>
    </xf>
    <xf numFmtId="0" fontId="13" fillId="7" borderId="0" xfId="0" applyFont="1" applyFill="1" applyAlignment="1">
      <alignment horizontal="left" vertical="center"/>
    </xf>
    <xf numFmtId="0" fontId="0" fillId="5" borderId="13" xfId="0" applyFill="1" applyBorder="1" applyAlignment="1">
      <alignment horizontal="center"/>
    </xf>
    <xf numFmtId="0" fontId="0" fillId="5" borderId="0" xfId="0" applyFill="1" applyAlignment="1">
      <alignment horizontal="center"/>
    </xf>
    <xf numFmtId="0" fontId="0" fillId="5" borderId="15" xfId="0" applyFill="1" applyBorder="1" applyAlignment="1">
      <alignment horizontal="center"/>
    </xf>
    <xf numFmtId="22" fontId="16" fillId="7" borderId="16" xfId="0" applyNumberFormat="1" applyFont="1" applyFill="1" applyBorder="1" applyAlignment="1">
      <alignment horizontal="center"/>
    </xf>
    <xf numFmtId="0" fontId="16" fillId="7" borderId="16" xfId="0" applyFont="1" applyFill="1" applyBorder="1" applyAlignment="1">
      <alignment horizontal="center"/>
    </xf>
    <xf numFmtId="0" fontId="14" fillId="7" borderId="0" xfId="0" applyFont="1" applyFill="1" applyAlignment="1" applyProtection="1">
      <alignment horizontal="center" vertical="center" wrapText="1"/>
      <protection locked="0"/>
    </xf>
    <xf numFmtId="0" fontId="3" fillId="7" borderId="2" xfId="0" applyFont="1" applyFill="1" applyBorder="1" applyAlignment="1">
      <alignment horizontal="center" vertical="center"/>
    </xf>
    <xf numFmtId="0" fontId="3" fillId="7" borderId="0" xfId="0" applyFont="1" applyFill="1" applyAlignment="1">
      <alignment horizontal="center" vertical="center"/>
    </xf>
    <xf numFmtId="164" fontId="8" fillId="14" borderId="0" xfId="0" applyNumberFormat="1" applyFont="1" applyFill="1" applyAlignment="1">
      <alignment horizontal="center" vertical="center"/>
    </xf>
    <xf numFmtId="0" fontId="3" fillId="6" borderId="2" xfId="0" applyFont="1" applyFill="1" applyBorder="1" applyAlignment="1">
      <alignment horizontal="center" vertical="center"/>
    </xf>
    <xf numFmtId="0" fontId="3" fillId="6" borderId="0" xfId="0" applyFont="1" applyFill="1" applyAlignment="1">
      <alignment horizontal="center" vertical="center"/>
    </xf>
    <xf numFmtId="0" fontId="1" fillId="7" borderId="0" xfId="0" applyFont="1" applyFill="1" applyAlignment="1">
      <alignment horizontal="center"/>
    </xf>
    <xf numFmtId="0" fontId="9" fillId="5" borderId="0" xfId="0" applyFont="1" applyFill="1" applyAlignment="1">
      <alignment horizontal="center" vertical="center"/>
    </xf>
    <xf numFmtId="0" fontId="9" fillId="5" borderId="8" xfId="0" applyFont="1" applyFill="1" applyBorder="1" applyAlignment="1">
      <alignment horizontal="center" vertical="center"/>
    </xf>
    <xf numFmtId="0" fontId="7" fillId="0" borderId="9" xfId="0" applyFont="1" applyBorder="1" applyAlignment="1" applyProtection="1">
      <alignment horizontal="center" vertical="center"/>
      <protection locked="0"/>
    </xf>
    <xf numFmtId="0" fontId="4" fillId="9" borderId="0" xfId="0" applyFont="1" applyFill="1" applyAlignment="1">
      <alignment horizontal="center" vertical="center"/>
    </xf>
    <xf numFmtId="0" fontId="1" fillId="3" borderId="1" xfId="0" applyFont="1" applyFill="1" applyBorder="1" applyAlignment="1">
      <alignment horizontal="center" vertical="center"/>
    </xf>
    <xf numFmtId="0" fontId="1" fillId="3" borderId="0" xfId="0" applyFont="1" applyFill="1" applyAlignment="1">
      <alignment horizontal="center" vertical="center"/>
    </xf>
    <xf numFmtId="0" fontId="26" fillId="0" borderId="9" xfId="0" applyFont="1" applyBorder="1" applyAlignment="1" applyProtection="1">
      <alignment horizontal="center" vertical="center"/>
      <protection locked="0"/>
    </xf>
    <xf numFmtId="0" fontId="0" fillId="8" borderId="0" xfId="0" applyFill="1" applyAlignment="1">
      <alignment horizontal="center" vertical="center"/>
    </xf>
    <xf numFmtId="0" fontId="4" fillId="10" borderId="0" xfId="0" applyFont="1" applyFill="1" applyAlignment="1">
      <alignment horizontal="center" vertical="center"/>
    </xf>
    <xf numFmtId="0" fontId="7" fillId="0" borderId="0" xfId="0" applyFont="1" applyAlignment="1" applyProtection="1">
      <alignment horizontal="center" vertical="center"/>
      <protection locked="0"/>
    </xf>
    <xf numFmtId="0" fontId="4" fillId="11" borderId="0" xfId="0" applyFont="1" applyFill="1" applyAlignment="1">
      <alignment horizontal="center" vertical="center"/>
    </xf>
    <xf numFmtId="0" fontId="4" fillId="12" borderId="0" xfId="0" applyFont="1" applyFill="1" applyAlignment="1">
      <alignment horizontal="center" vertical="center"/>
    </xf>
    <xf numFmtId="0" fontId="4" fillId="13" borderId="0" xfId="0" applyFont="1" applyFill="1" applyAlignment="1">
      <alignment horizontal="center" vertical="center"/>
    </xf>
    <xf numFmtId="0" fontId="0" fillId="0" borderId="0" xfId="0" applyAlignment="1">
      <alignment horizontal="center" vertical="center"/>
    </xf>
    <xf numFmtId="0" fontId="12" fillId="5" borderId="2" xfId="0" applyFont="1" applyFill="1" applyBorder="1" applyAlignment="1">
      <alignment horizontal="left" vertical="center"/>
    </xf>
    <xf numFmtId="0" fontId="12" fillId="5" borderId="0" xfId="0" applyFont="1" applyFill="1" applyAlignment="1">
      <alignment horizontal="left" vertical="center"/>
    </xf>
    <xf numFmtId="0" fontId="0" fillId="4" borderId="0" xfId="0" applyFill="1" applyAlignment="1">
      <alignment horizontal="center"/>
    </xf>
    <xf numFmtId="0" fontId="11" fillId="5" borderId="5" xfId="0" applyFont="1" applyFill="1" applyBorder="1" applyAlignment="1">
      <alignment horizontal="left" vertical="center"/>
    </xf>
    <xf numFmtId="0" fontId="11" fillId="5" borderId="6" xfId="0" applyFont="1" applyFill="1" applyBorder="1" applyAlignment="1">
      <alignment horizontal="left" vertical="center"/>
    </xf>
    <xf numFmtId="0" fontId="11" fillId="5" borderId="7" xfId="0" applyFont="1" applyFill="1" applyBorder="1" applyAlignment="1">
      <alignment horizontal="left" vertical="center"/>
    </xf>
    <xf numFmtId="0" fontId="11" fillId="5" borderId="27" xfId="0" applyFont="1" applyFill="1" applyBorder="1" applyAlignment="1">
      <alignment horizontal="left" vertical="center"/>
    </xf>
    <xf numFmtId="0" fontId="11" fillId="5" borderId="3" xfId="0" applyFont="1" applyFill="1" applyBorder="1" applyAlignment="1">
      <alignment horizontal="left" vertical="center"/>
    </xf>
    <xf numFmtId="0" fontId="11" fillId="5" borderId="4" xfId="0" applyFont="1" applyFill="1" applyBorder="1" applyAlignment="1">
      <alignment horizontal="left" vertical="center"/>
    </xf>
    <xf numFmtId="0" fontId="11" fillId="5" borderId="28" xfId="0" applyFont="1" applyFill="1" applyBorder="1" applyAlignment="1">
      <alignment horizontal="left" vertical="center"/>
    </xf>
    <xf numFmtId="0" fontId="11" fillId="5" borderId="8" xfId="0" applyFont="1" applyFill="1" applyBorder="1" applyAlignment="1">
      <alignment horizontal="left" vertical="center"/>
    </xf>
    <xf numFmtId="0" fontId="11" fillId="5" borderId="11" xfId="0" applyFont="1" applyFill="1" applyBorder="1" applyAlignment="1">
      <alignment horizontal="left" vertical="center"/>
    </xf>
    <xf numFmtId="0" fontId="3" fillId="6" borderId="2" xfId="0" applyFont="1" applyFill="1" applyBorder="1" applyAlignment="1">
      <alignment horizontal="left" vertical="center"/>
    </xf>
    <xf numFmtId="0" fontId="3" fillId="6" borderId="0" xfId="0" applyFont="1" applyFill="1" applyAlignment="1">
      <alignment horizontal="left" vertical="center"/>
    </xf>
    <xf numFmtId="0" fontId="3" fillId="6" borderId="27" xfId="0" applyFont="1" applyFill="1" applyBorder="1" applyAlignment="1">
      <alignment horizontal="left" vertical="center"/>
    </xf>
    <xf numFmtId="0" fontId="3" fillId="6" borderId="3" xfId="0" applyFont="1" applyFill="1" applyBorder="1" applyAlignment="1">
      <alignment horizontal="left" vertical="center"/>
    </xf>
    <xf numFmtId="0" fontId="3" fillId="6" borderId="4" xfId="0" applyFont="1" applyFill="1" applyBorder="1" applyAlignment="1">
      <alignment horizontal="left" vertical="center"/>
    </xf>
    <xf numFmtId="0" fontId="3" fillId="6" borderId="13" xfId="0" applyFont="1" applyFill="1" applyBorder="1" applyAlignment="1">
      <alignment horizontal="left" vertical="center"/>
    </xf>
    <xf numFmtId="0" fontId="3" fillId="6" borderId="12" xfId="0" applyFont="1" applyFill="1" applyBorder="1" applyAlignment="1">
      <alignment horizontal="left" vertical="center"/>
    </xf>
    <xf numFmtId="0" fontId="3" fillId="7" borderId="2" xfId="0" applyFont="1" applyFill="1" applyBorder="1" applyAlignment="1">
      <alignment horizontal="left" vertical="center"/>
    </xf>
    <xf numFmtId="0" fontId="3" fillId="7" borderId="0" xfId="0" applyFont="1" applyFill="1" applyAlignment="1">
      <alignment horizontal="left" vertical="center"/>
    </xf>
    <xf numFmtId="0" fontId="3" fillId="7" borderId="13" xfId="0" applyFont="1" applyFill="1" applyBorder="1" applyAlignment="1">
      <alignment horizontal="left" vertical="center"/>
    </xf>
    <xf numFmtId="0" fontId="3" fillId="7" borderId="12" xfId="0" applyFont="1" applyFill="1" applyBorder="1" applyAlignment="1">
      <alignment horizontal="left" vertical="center"/>
    </xf>
    <xf numFmtId="0" fontId="3" fillId="7" borderId="28" xfId="0" applyFont="1" applyFill="1" applyBorder="1" applyAlignment="1">
      <alignment horizontal="left" vertical="center"/>
    </xf>
    <xf numFmtId="0" fontId="3" fillId="7" borderId="8" xfId="0" applyFont="1" applyFill="1" applyBorder="1" applyAlignment="1">
      <alignment horizontal="left" vertical="center"/>
    </xf>
    <xf numFmtId="0" fontId="3" fillId="7" borderId="11" xfId="0" applyFont="1" applyFill="1" applyBorder="1" applyAlignment="1">
      <alignment horizontal="left" vertical="center"/>
    </xf>
    <xf numFmtId="0" fontId="0" fillId="7" borderId="0" xfId="0" applyFill="1" applyAlignment="1">
      <alignment horizontal="center"/>
    </xf>
    <xf numFmtId="0" fontId="0" fillId="7" borderId="8" xfId="0" applyFill="1" applyBorder="1" applyAlignment="1">
      <alignment horizontal="center"/>
    </xf>
    <xf numFmtId="0" fontId="24" fillId="0" borderId="5" xfId="0" applyFont="1" applyBorder="1" applyAlignment="1">
      <alignment horizontal="center"/>
    </xf>
    <xf numFmtId="0" fontId="24" fillId="0" borderId="7" xfId="0" applyFont="1" applyBorder="1" applyAlignment="1">
      <alignment horizontal="center"/>
    </xf>
    <xf numFmtId="0" fontId="1" fillId="6" borderId="0" xfId="0" applyFont="1" applyFill="1" applyAlignment="1">
      <alignment horizontal="center" vertical="center"/>
    </xf>
    <xf numFmtId="0" fontId="24" fillId="5" borderId="0" xfId="0" applyFont="1" applyFill="1" applyAlignment="1">
      <alignment horizontal="center"/>
    </xf>
    <xf numFmtId="0" fontId="24" fillId="5" borderId="34" xfId="0" applyFont="1" applyFill="1" applyBorder="1" applyAlignment="1">
      <alignment horizontal="center"/>
    </xf>
    <xf numFmtId="0" fontId="24" fillId="0" borderId="10" xfId="0" applyFont="1" applyBorder="1" applyAlignment="1">
      <alignment horizontal="center"/>
    </xf>
    <xf numFmtId="22" fontId="24" fillId="7" borderId="0" xfId="0" applyNumberFormat="1" applyFont="1" applyFill="1" applyAlignment="1">
      <alignment horizontal="center"/>
    </xf>
    <xf numFmtId="0" fontId="24" fillId="7" borderId="0" xfId="0" applyFont="1" applyFill="1" applyAlignment="1">
      <alignment horizontal="center"/>
    </xf>
    <xf numFmtId="0" fontId="24" fillId="7" borderId="34" xfId="0" applyFont="1" applyFill="1" applyBorder="1" applyAlignment="1">
      <alignment horizontal="center"/>
    </xf>
    <xf numFmtId="0" fontId="24" fillId="6" borderId="0" xfId="0" applyFont="1" applyFill="1" applyAlignment="1">
      <alignment horizontal="center"/>
    </xf>
    <xf numFmtId="0" fontId="24" fillId="6" borderId="34" xfId="0" applyFont="1" applyFill="1" applyBorder="1" applyAlignment="1">
      <alignment horizontal="center"/>
    </xf>
    <xf numFmtId="22" fontId="24" fillId="6" borderId="0" xfId="0" applyNumberFormat="1" applyFont="1" applyFill="1" applyAlignment="1">
      <alignment horizontal="center"/>
    </xf>
    <xf numFmtId="0" fontId="19" fillId="7" borderId="2" xfId="0" applyFont="1" applyFill="1" applyBorder="1" applyAlignment="1">
      <alignment horizontal="left" vertical="center" wrapText="1"/>
    </xf>
    <xf numFmtId="0" fontId="19" fillId="7" borderId="0" xfId="0" applyFont="1" applyFill="1" applyAlignment="1">
      <alignment horizontal="left" vertical="center" wrapText="1"/>
    </xf>
    <xf numFmtId="0" fontId="19" fillId="7" borderId="39" xfId="0" applyFont="1" applyFill="1" applyBorder="1" applyAlignment="1">
      <alignment horizontal="left" vertical="center" wrapText="1"/>
    </xf>
    <xf numFmtId="0" fontId="19" fillId="7" borderId="40" xfId="0" applyFont="1" applyFill="1" applyBorder="1" applyAlignment="1">
      <alignment horizontal="left" vertical="center" wrapText="1"/>
    </xf>
    <xf numFmtId="0" fontId="24" fillId="7" borderId="40" xfId="0" applyFont="1" applyFill="1" applyBorder="1" applyAlignment="1">
      <alignment horizontal="center"/>
    </xf>
    <xf numFmtId="0" fontId="24" fillId="7" borderId="42" xfId="0" applyFont="1" applyFill="1" applyBorder="1" applyAlignment="1">
      <alignment horizontal="center"/>
    </xf>
    <xf numFmtId="0" fontId="21" fillId="5" borderId="44" xfId="0" applyFont="1" applyFill="1" applyBorder="1" applyAlignment="1">
      <alignment horizontal="left" vertical="center"/>
    </xf>
    <xf numFmtId="0" fontId="21" fillId="5" borderId="6" xfId="0" applyFont="1" applyFill="1" applyBorder="1" applyAlignment="1">
      <alignment horizontal="left" vertical="center"/>
    </xf>
    <xf numFmtId="0" fontId="21" fillId="5" borderId="7" xfId="0" applyFont="1" applyFill="1" applyBorder="1" applyAlignment="1">
      <alignment horizontal="left" vertical="center"/>
    </xf>
    <xf numFmtId="0" fontId="22" fillId="6" borderId="33" xfId="0" applyFont="1" applyFill="1" applyBorder="1" applyAlignment="1">
      <alignment horizontal="left" vertical="center"/>
    </xf>
    <xf numFmtId="0" fontId="22" fillId="6" borderId="10" xfId="0" applyFont="1" applyFill="1" applyBorder="1" applyAlignment="1">
      <alignment horizontal="left" vertical="center"/>
    </xf>
    <xf numFmtId="0" fontId="22" fillId="7" borderId="33" xfId="0" applyFont="1" applyFill="1" applyBorder="1" applyAlignment="1">
      <alignment horizontal="left" vertical="center"/>
    </xf>
    <xf numFmtId="0" fontId="22" fillId="7" borderId="10" xfId="0" applyFont="1" applyFill="1" applyBorder="1" applyAlignment="1">
      <alignment horizontal="left" vertical="center"/>
    </xf>
    <xf numFmtId="0" fontId="24" fillId="7" borderId="3" xfId="0" applyFont="1" applyFill="1" applyBorder="1" applyAlignment="1">
      <alignment horizontal="center"/>
    </xf>
    <xf numFmtId="0" fontId="22" fillId="7" borderId="2" xfId="0" applyFont="1" applyFill="1" applyBorder="1" applyAlignment="1">
      <alignment horizontal="left" vertical="center"/>
    </xf>
    <xf numFmtId="0" fontId="22" fillId="7" borderId="0" xfId="0" applyFont="1" applyFill="1" applyAlignment="1">
      <alignment horizontal="left" vertical="center"/>
    </xf>
    <xf numFmtId="0" fontId="22" fillId="6" borderId="2" xfId="0" applyFont="1" applyFill="1" applyBorder="1" applyAlignment="1">
      <alignment horizontal="left" vertical="center"/>
    </xf>
    <xf numFmtId="0" fontId="22" fillId="6" borderId="0" xfId="0" applyFont="1" applyFill="1" applyAlignment="1">
      <alignment horizontal="left" vertical="center"/>
    </xf>
    <xf numFmtId="0" fontId="24" fillId="7" borderId="6" xfId="0" applyFont="1" applyFill="1" applyBorder="1" applyAlignment="1">
      <alignment horizontal="center"/>
    </xf>
    <xf numFmtId="22" fontId="24" fillId="7" borderId="6" xfId="0" applyNumberFormat="1" applyFont="1" applyFill="1" applyBorder="1" applyAlignment="1">
      <alignment horizontal="center"/>
    </xf>
    <xf numFmtId="0" fontId="22" fillId="13" borderId="0" xfId="0" applyFont="1" applyFill="1" applyAlignment="1">
      <alignment horizontal="center" vertical="center"/>
    </xf>
    <xf numFmtId="0" fontId="19" fillId="0" borderId="3"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4" borderId="2" xfId="0" applyFont="1" applyFill="1" applyBorder="1" applyAlignment="1">
      <alignment horizontal="center"/>
    </xf>
    <xf numFmtId="0" fontId="24" fillId="4" borderId="0" xfId="0" applyFont="1" applyFill="1" applyAlignment="1">
      <alignment horizontal="center"/>
    </xf>
    <xf numFmtId="0" fontId="24" fillId="4" borderId="34" xfId="0" applyFont="1" applyFill="1" applyBorder="1" applyAlignment="1">
      <alignment horizontal="center"/>
    </xf>
    <xf numFmtId="0" fontId="24" fillId="0" borderId="1" xfId="0" applyFont="1" applyBorder="1" applyAlignment="1">
      <alignment horizontal="center" vertical="center"/>
    </xf>
    <xf numFmtId="0" fontId="24" fillId="0" borderId="32" xfId="0" applyFont="1" applyBorder="1" applyAlignment="1">
      <alignment horizontal="center" vertical="center"/>
    </xf>
    <xf numFmtId="0" fontId="24" fillId="0" borderId="0" xfId="0" applyFont="1" applyAlignment="1">
      <alignment horizontal="center" vertical="center"/>
    </xf>
    <xf numFmtId="0" fontId="24" fillId="0" borderId="34" xfId="0" applyFont="1" applyBorder="1" applyAlignment="1">
      <alignment horizontal="center" vertical="center"/>
    </xf>
    <xf numFmtId="0" fontId="20" fillId="3" borderId="43" xfId="0" applyFont="1" applyFill="1" applyBorder="1" applyAlignment="1">
      <alignment horizontal="center" vertical="center"/>
    </xf>
    <xf numFmtId="0" fontId="20" fillId="3" borderId="1" xfId="0" applyFont="1" applyFill="1" applyBorder="1" applyAlignment="1">
      <alignment horizontal="center" vertical="center"/>
    </xf>
    <xf numFmtId="0" fontId="20" fillId="3" borderId="2" xfId="0" applyFont="1" applyFill="1" applyBorder="1" applyAlignment="1">
      <alignment horizontal="center" vertical="center"/>
    </xf>
    <xf numFmtId="0" fontId="20" fillId="3" borderId="0" xfId="0" applyFont="1" applyFill="1" applyAlignment="1">
      <alignment horizontal="center" vertical="center"/>
    </xf>
    <xf numFmtId="0" fontId="20" fillId="8" borderId="0" xfId="0" applyFont="1" applyFill="1" applyAlignment="1">
      <alignment horizontal="center"/>
    </xf>
    <xf numFmtId="0" fontId="20" fillId="15" borderId="0" xfId="0" applyFont="1" applyFill="1" applyAlignment="1">
      <alignment horizontal="center"/>
    </xf>
    <xf numFmtId="0" fontId="20" fillId="3" borderId="0" xfId="0" applyFont="1" applyFill="1" applyAlignment="1">
      <alignment horizontal="center"/>
    </xf>
    <xf numFmtId="0" fontId="22" fillId="12" borderId="0" xfId="0" applyFont="1" applyFill="1" applyAlignment="1">
      <alignment horizontal="center" vertical="center"/>
    </xf>
    <xf numFmtId="164" fontId="25" fillId="14" borderId="0" xfId="0" applyNumberFormat="1" applyFont="1" applyFill="1" applyAlignment="1">
      <alignment horizontal="center" vertical="center"/>
    </xf>
    <xf numFmtId="0" fontId="24" fillId="8" borderId="1" xfId="0" applyFont="1" applyFill="1" applyBorder="1" applyAlignment="1">
      <alignment horizontal="center" vertical="center"/>
    </xf>
    <xf numFmtId="0" fontId="22" fillId="9" borderId="0" xfId="0" applyFont="1" applyFill="1" applyAlignment="1">
      <alignment horizontal="center" vertical="center"/>
    </xf>
    <xf numFmtId="0" fontId="22" fillId="10" borderId="0" xfId="0" applyFont="1" applyFill="1" applyAlignment="1">
      <alignment horizontal="center" vertical="center"/>
    </xf>
    <xf numFmtId="0" fontId="28" fillId="16" borderId="45" xfId="1" applyFont="1" applyFill="1" applyBorder="1" applyAlignment="1">
      <alignment horizontal="center" vertical="center"/>
    </xf>
    <xf numFmtId="0" fontId="28" fillId="16" borderId="17" xfId="1" applyFont="1" applyFill="1" applyBorder="1" applyAlignment="1">
      <alignment horizontal="center" vertical="center"/>
    </xf>
    <xf numFmtId="0" fontId="28" fillId="16" borderId="46" xfId="1" applyFont="1" applyFill="1" applyBorder="1" applyAlignment="1">
      <alignment horizontal="center" vertical="center"/>
    </xf>
    <xf numFmtId="0" fontId="28" fillId="16" borderId="18" xfId="1" applyFont="1" applyFill="1" applyBorder="1" applyAlignment="1">
      <alignment horizontal="center" vertical="center"/>
    </xf>
    <xf numFmtId="0" fontId="28" fillId="16" borderId="0" xfId="1" applyFont="1" applyFill="1" applyBorder="1" applyAlignment="1">
      <alignment horizontal="center" vertical="center"/>
    </xf>
    <xf numFmtId="0" fontId="28" fillId="16" borderId="12" xfId="1" applyFont="1" applyFill="1" applyBorder="1" applyAlignment="1">
      <alignment horizontal="center" vertical="center"/>
    </xf>
    <xf numFmtId="0" fontId="28" fillId="16" borderId="47" xfId="1" applyFont="1" applyFill="1" applyBorder="1" applyAlignment="1">
      <alignment horizontal="center" vertical="center"/>
    </xf>
    <xf numFmtId="0" fontId="28" fillId="16" borderId="40" xfId="1" applyFont="1" applyFill="1" applyBorder="1" applyAlignment="1">
      <alignment horizontal="center" vertical="center"/>
    </xf>
    <xf numFmtId="0" fontId="28" fillId="16" borderId="41" xfId="1" applyFont="1" applyFill="1" applyBorder="1" applyAlignment="1">
      <alignment horizontal="center" vertical="center"/>
    </xf>
    <xf numFmtId="0" fontId="22" fillId="11" borderId="0" xfId="0" applyFont="1" applyFill="1" applyAlignment="1">
      <alignment horizontal="center" vertical="center"/>
    </xf>
    <xf numFmtId="22" fontId="24" fillId="7" borderId="3" xfId="0" applyNumberFormat="1" applyFont="1" applyFill="1" applyBorder="1" applyAlignment="1">
      <alignment horizontal="center"/>
    </xf>
    <xf numFmtId="0" fontId="22" fillId="6" borderId="12" xfId="0" applyFont="1" applyFill="1" applyBorder="1" applyAlignment="1">
      <alignment horizontal="left" vertical="center"/>
    </xf>
    <xf numFmtId="0" fontId="19" fillId="6" borderId="2" xfId="0" applyFont="1" applyFill="1" applyBorder="1" applyAlignment="1">
      <alignment horizontal="left" vertical="center"/>
    </xf>
    <xf numFmtId="0" fontId="19" fillId="6" borderId="0" xfId="0" applyFont="1" applyFill="1" applyAlignment="1">
      <alignment horizontal="left" vertical="center"/>
    </xf>
    <xf numFmtId="0" fontId="19" fillId="6" borderId="12" xfId="0" applyFont="1" applyFill="1" applyBorder="1" applyAlignment="1">
      <alignment horizontal="left" vertical="center"/>
    </xf>
    <xf numFmtId="0" fontId="19" fillId="6" borderId="36" xfId="0" applyFont="1" applyFill="1" applyBorder="1" applyAlignment="1">
      <alignment horizontal="left" vertical="center"/>
    </xf>
    <xf numFmtId="0" fontId="19" fillId="6" borderId="8" xfId="0" applyFont="1" applyFill="1" applyBorder="1" applyAlignment="1">
      <alignment horizontal="left" vertical="center"/>
    </xf>
    <xf numFmtId="0" fontId="19" fillId="6" borderId="11" xfId="0" applyFont="1" applyFill="1" applyBorder="1" applyAlignment="1">
      <alignment horizontal="left" vertical="center"/>
    </xf>
    <xf numFmtId="0" fontId="20" fillId="5" borderId="33" xfId="0" applyFont="1" applyFill="1" applyBorder="1" applyAlignment="1">
      <alignment horizontal="left" vertical="center"/>
    </xf>
    <xf numFmtId="0" fontId="20" fillId="5" borderId="10" xfId="0" applyFont="1" applyFill="1" applyBorder="1" applyAlignment="1">
      <alignment horizontal="left" vertical="center"/>
    </xf>
    <xf numFmtId="0" fontId="21" fillId="5" borderId="35" xfId="0" applyFont="1" applyFill="1" applyBorder="1" applyAlignment="1">
      <alignment horizontal="left" vertical="center"/>
    </xf>
    <xf numFmtId="0" fontId="21" fillId="5" borderId="3" xfId="0" applyFont="1" applyFill="1" applyBorder="1" applyAlignment="1">
      <alignment horizontal="left" vertical="center"/>
    </xf>
    <xf numFmtId="0" fontId="21" fillId="5" borderId="2" xfId="0" applyFont="1" applyFill="1" applyBorder="1" applyAlignment="1">
      <alignment horizontal="left" vertical="center"/>
    </xf>
    <xf numFmtId="0" fontId="21" fillId="5" borderId="0" xfId="0" applyFont="1" applyFill="1" applyAlignment="1">
      <alignment horizontal="left" vertical="center"/>
    </xf>
    <xf numFmtId="0" fontId="22" fillId="7" borderId="35" xfId="0" applyFont="1" applyFill="1" applyBorder="1" applyAlignment="1">
      <alignment horizontal="left" vertical="center"/>
    </xf>
    <xf numFmtId="0" fontId="22" fillId="7" borderId="3" xfId="0" applyFont="1" applyFill="1" applyBorder="1" applyAlignment="1">
      <alignment horizontal="left" vertical="center"/>
    </xf>
    <xf numFmtId="0" fontId="22" fillId="7" borderId="4" xfId="0" applyFont="1" applyFill="1" applyBorder="1" applyAlignment="1">
      <alignment horizontal="left" vertical="center"/>
    </xf>
    <xf numFmtId="0" fontId="19" fillId="7" borderId="2" xfId="0" applyFont="1" applyFill="1" applyBorder="1" applyAlignment="1">
      <alignment horizontal="left" vertical="center"/>
    </xf>
    <xf numFmtId="0" fontId="19" fillId="7" borderId="0" xfId="0" applyFont="1" applyFill="1" applyAlignment="1">
      <alignment horizontal="left" vertical="center"/>
    </xf>
    <xf numFmtId="0" fontId="19" fillId="7" borderId="12" xfId="0" applyFont="1" applyFill="1" applyBorder="1" applyAlignment="1">
      <alignment horizontal="left" vertical="center"/>
    </xf>
    <xf numFmtId="0" fontId="19" fillId="7" borderId="36" xfId="0" applyFont="1" applyFill="1" applyBorder="1" applyAlignment="1">
      <alignment horizontal="left" vertical="center"/>
    </xf>
    <xf numFmtId="0" fontId="19" fillId="7" borderId="8" xfId="0" applyFont="1" applyFill="1" applyBorder="1" applyAlignment="1">
      <alignment horizontal="left" vertical="center"/>
    </xf>
    <xf numFmtId="0" fontId="19" fillId="7" borderId="11" xfId="0" applyFont="1" applyFill="1" applyBorder="1" applyAlignment="1">
      <alignment horizontal="left" vertical="center"/>
    </xf>
    <xf numFmtId="0" fontId="22" fillId="6" borderId="35" xfId="0" applyFont="1" applyFill="1" applyBorder="1" applyAlignment="1">
      <alignment horizontal="left" vertical="center"/>
    </xf>
    <xf numFmtId="0" fontId="22" fillId="6" borderId="3" xfId="0" applyFont="1" applyFill="1" applyBorder="1" applyAlignment="1">
      <alignment horizontal="left" vertical="center"/>
    </xf>
    <xf numFmtId="0" fontId="22" fillId="6" borderId="4" xfId="0" applyFont="1" applyFill="1" applyBorder="1" applyAlignment="1">
      <alignment horizontal="left" vertical="center"/>
    </xf>
    <xf numFmtId="0" fontId="19" fillId="0" borderId="30" xfId="0" applyFont="1" applyBorder="1" applyAlignment="1" applyProtection="1">
      <alignment horizontal="center" vertical="center"/>
      <protection locked="0"/>
    </xf>
    <xf numFmtId="0" fontId="21" fillId="5" borderId="4" xfId="0" applyFont="1" applyFill="1" applyBorder="1" applyAlignment="1">
      <alignment horizontal="left" vertical="center"/>
    </xf>
    <xf numFmtId="0" fontId="21" fillId="5" borderId="36" xfId="0" applyFont="1" applyFill="1" applyBorder="1" applyAlignment="1">
      <alignment horizontal="left" vertical="center"/>
    </xf>
    <xf numFmtId="0" fontId="21" fillId="5" borderId="8" xfId="0" applyFont="1" applyFill="1" applyBorder="1" applyAlignment="1">
      <alignment horizontal="left" vertical="center"/>
    </xf>
    <xf numFmtId="0" fontId="21" fillId="5" borderId="11" xfId="0" applyFont="1" applyFill="1" applyBorder="1" applyAlignment="1">
      <alignment horizontal="left" vertical="center"/>
    </xf>
    <xf numFmtId="0" fontId="20" fillId="6" borderId="3" xfId="0" applyFont="1" applyFill="1" applyBorder="1" applyAlignment="1">
      <alignment horizontal="center" vertical="center"/>
    </xf>
    <xf numFmtId="0" fontId="20" fillId="6" borderId="0" xfId="0" applyFont="1" applyFill="1" applyAlignment="1">
      <alignment horizontal="center" vertical="center"/>
    </xf>
    <xf numFmtId="0" fontId="20" fillId="5" borderId="44" xfId="0" applyFont="1" applyFill="1" applyBorder="1" applyAlignment="1">
      <alignment horizontal="left" vertical="center"/>
    </xf>
    <xf numFmtId="0" fontId="20" fillId="5" borderId="6" xfId="0" applyFont="1" applyFill="1" applyBorder="1" applyAlignment="1">
      <alignment horizontal="left" vertical="center"/>
    </xf>
    <xf numFmtId="0" fontId="20" fillId="5" borderId="7" xfId="0" applyFont="1" applyFill="1" applyBorder="1" applyAlignment="1">
      <alignment horizontal="left" vertical="center"/>
    </xf>
  </cellXfs>
  <cellStyles count="2">
    <cellStyle name="Hyperlink" xfId="1" builtinId="8"/>
    <cellStyle name="Normal" xfId="0" builtinId="0"/>
  </cellStyles>
  <dxfs count="390">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243840</xdr:colOff>
          <xdr:row>0</xdr:row>
          <xdr:rowOff>144780</xdr:rowOff>
        </xdr:from>
        <xdr:to>
          <xdr:col>44</xdr:col>
          <xdr:colOff>38100</xdr:colOff>
          <xdr:row>3</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0</xdr:colOff>
          <xdr:row>0</xdr:row>
          <xdr:rowOff>83820</xdr:rowOff>
        </xdr:from>
        <xdr:to>
          <xdr:col>43</xdr:col>
          <xdr:colOff>1356360</xdr:colOff>
          <xdr:row>3</xdr:row>
          <xdr:rowOff>106680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as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60960</xdr:colOff>
          <xdr:row>0</xdr:row>
          <xdr:rowOff>114300</xdr:rowOff>
        </xdr:from>
        <xdr:to>
          <xdr:col>44</xdr:col>
          <xdr:colOff>76200</xdr:colOff>
          <xdr:row>3</xdr:row>
          <xdr:rowOff>106680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as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7" Type="http://schemas.openxmlformats.org/officeDocument/2006/relationships/printerSettings" Target="../printerSettings/printerSettings1.bin"/><Relationship Id="rId2"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1" Type="http://schemas.openxmlformats.org/officeDocument/2006/relationships/hyperlink" Target="../../../../../../:x:/r/sites/TRUMiFIDSFTRCB/_layouts/15/Doc.aspx?sourcedoc=%7B986405E6-E840-498B-83E5-0A3CABCD23F3%7D&amp;file=Workplan%20-%20Trade%20Reporting%20Unit%20II.xlsm&amp;action=default&amp;mobileredirect=true" TargetMode="External"/><Relationship Id="rId6"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5"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10" Type="http://schemas.openxmlformats.org/officeDocument/2006/relationships/ctrlProp" Target="../ctrlProps/ctrlProp1.xml"/><Relationship Id="rId4"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9"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7"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2"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1" Type="http://schemas.openxmlformats.org/officeDocument/2006/relationships/hyperlink" Target="../../../../../../:x:/r/sites/TRUMiFIDSFTRCB/_layouts/15/Doc.aspx?sourcedoc=%7B986405E6-E840-498B-83E5-0A3CABCD23F3%7D&amp;file=Workplan%20-%20Trade%20Reporting%20Unit%20II.xlsm&amp;action=default&amp;mobileredirect=true" TargetMode="External"/><Relationship Id="rId6"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11" Type="http://schemas.openxmlformats.org/officeDocument/2006/relationships/ctrlProp" Target="../ctrlProps/ctrlProp2.xml"/><Relationship Id="rId5"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10" Type="http://schemas.openxmlformats.org/officeDocument/2006/relationships/vmlDrawing" Target="../drawings/vmlDrawing2.vml"/><Relationship Id="rId4"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7" Type="http://schemas.openxmlformats.org/officeDocument/2006/relationships/printerSettings" Target="../printerSettings/printerSettings3.bin"/><Relationship Id="rId2"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1" Type="http://schemas.openxmlformats.org/officeDocument/2006/relationships/hyperlink" Target="file:///C:\Users\S2921F\:x:\r\sites\TRUMiFIDSFTRCB\_layouts\15\Doc.aspx%3fsourcedoc=%7b986405E6-E840-498B-83E5-0A3CABCD23F3%7d&amp;file=Workplan%20-%20Trade%20Reporting%20Unit%20II.xlsm&amp;action=default&amp;mobileredirect=true" TargetMode="External"/><Relationship Id="rId6"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5"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10" Type="http://schemas.openxmlformats.org/officeDocument/2006/relationships/ctrlProp" Target="../ctrlProps/ctrlProp3.xml"/><Relationship Id="rId4" Type="http://schemas.openxmlformats.org/officeDocument/2006/relationships/hyperlink" Target="../../../../../../../../:x:/r/sites/TRUMiFIDSFTRCB/Shared%20Documents/General/4.%20Initiatives%20%26%20projects/KPI%20collection/KPI%20Process%20List%20(copy%20on%2030%20June%202025).xlsx?d=wce98cc5ced68457a95d36ef2b5d4d5dd&amp;csf=1&amp;web=1&amp;e=dHduEM" TargetMode="External"/><Relationship Id="rId9"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F2F37-F5CD-4E64-AEA1-595DC333A2DB}">
  <sheetPr codeName="Sheet1">
    <pageSetUpPr fitToPage="1"/>
  </sheetPr>
  <dimension ref="A1:AS85"/>
  <sheetViews>
    <sheetView showGridLines="0" tabSelected="1" zoomScale="70" zoomScaleNormal="70" workbookViewId="0">
      <pane xSplit="5" ySplit="5" topLeftCell="N6" activePane="bottomRight" state="frozen"/>
      <selection pane="bottomRight" activeCell="AU9" sqref="AU9"/>
      <selection pane="bottomLeft" activeCell="BA19" sqref="BA19"/>
      <selection pane="topRight" activeCell="BA19" sqref="BA19"/>
    </sheetView>
  </sheetViews>
  <sheetFormatPr defaultColWidth="9.140625" defaultRowHeight="13.9"/>
  <cols>
    <col min="1" max="2" width="11.7109375" style="2" customWidth="1"/>
    <col min="3" max="3" width="15.85546875" style="2" customWidth="1"/>
    <col min="4" max="4" width="11.7109375" style="2" customWidth="1"/>
    <col min="5" max="5" width="16.28515625" style="2" customWidth="1"/>
    <col min="6" max="6" width="2.7109375" style="2" customWidth="1"/>
    <col min="7" max="7" width="6.85546875" style="4" customWidth="1"/>
    <col min="8" max="9" width="19.85546875" style="4" customWidth="1"/>
    <col min="10" max="10" width="2.85546875" style="4" customWidth="1"/>
    <col min="11" max="12" width="8.7109375" style="4" customWidth="1"/>
    <col min="13" max="13" width="2.85546875" style="4" customWidth="1"/>
    <col min="14" max="14" width="6.85546875" style="4" customWidth="1"/>
    <col min="15" max="15" width="19.85546875" style="4" customWidth="1"/>
    <col min="16" max="16" width="19.85546875" style="2" customWidth="1"/>
    <col min="17" max="17" width="2.85546875" style="4" customWidth="1"/>
    <col min="18" max="19" width="8.7109375" style="4" customWidth="1"/>
    <col min="20" max="20" width="2.7109375" style="2" customWidth="1"/>
    <col min="21" max="21" width="6.85546875" style="2" customWidth="1"/>
    <col min="22" max="23" width="19.85546875" style="2" customWidth="1"/>
    <col min="24" max="24" width="2.85546875" style="4" customWidth="1"/>
    <col min="25" max="26" width="8.7109375" style="4" customWidth="1"/>
    <col min="27" max="27" width="2.7109375" style="2" customWidth="1"/>
    <col min="28" max="28" width="6.85546875" style="2" customWidth="1"/>
    <col min="29" max="30" width="19.85546875" style="2" customWidth="1"/>
    <col min="31" max="31" width="2.85546875" style="4" customWidth="1"/>
    <col min="32" max="33" width="8.7109375" style="4" customWidth="1"/>
    <col min="34" max="34" width="2.42578125" style="2" customWidth="1"/>
    <col min="35" max="35" width="6.85546875" style="2" customWidth="1"/>
    <col min="36" max="37" width="19.85546875" style="2" customWidth="1"/>
    <col min="38" max="38" width="2.85546875" style="4" customWidth="1"/>
    <col min="39" max="40" width="8.7109375" style="4" customWidth="1"/>
    <col min="41" max="41" width="3.42578125" style="2" customWidth="1"/>
    <col min="42" max="42" width="2.85546875" style="2" customWidth="1"/>
    <col min="43" max="44" width="11.140625" style="2" customWidth="1"/>
    <col min="45" max="45" width="3.140625" style="2" customWidth="1"/>
    <col min="46" max="16384" width="9.140625" style="2"/>
  </cols>
  <sheetData>
    <row r="1" spans="1:45" ht="15" customHeight="1" thickTop="1">
      <c r="A1" s="224" t="s">
        <v>0</v>
      </c>
      <c r="B1" s="225"/>
      <c r="C1" s="225"/>
      <c r="D1" s="225"/>
      <c r="E1" s="225"/>
      <c r="F1" s="234" t="s">
        <v>1</v>
      </c>
      <c r="G1" s="236"/>
      <c r="H1" s="26">
        <v>2025</v>
      </c>
      <c r="I1" s="234" t="s">
        <v>2</v>
      </c>
      <c r="J1" s="235"/>
      <c r="K1" s="235"/>
      <c r="L1" s="235"/>
      <c r="M1" s="235"/>
      <c r="N1" s="236"/>
      <c r="O1" s="26">
        <v>27</v>
      </c>
      <c r="P1" s="74"/>
      <c r="Q1" s="75"/>
      <c r="R1" s="75"/>
      <c r="S1" s="75"/>
      <c r="T1" s="75"/>
      <c r="U1" s="75"/>
      <c r="V1" s="75"/>
      <c r="W1" s="75"/>
      <c r="X1" s="33"/>
      <c r="Y1" s="33"/>
      <c r="Z1" s="33"/>
      <c r="AA1" s="239" t="s">
        <v>3</v>
      </c>
      <c r="AB1" s="239"/>
      <c r="AC1" s="239"/>
      <c r="AD1" s="239"/>
      <c r="AE1" s="239"/>
      <c r="AF1" s="239"/>
      <c r="AG1" s="239"/>
      <c r="AH1" s="239"/>
      <c r="AI1" s="239"/>
      <c r="AJ1" s="239"/>
      <c r="AK1" s="221"/>
      <c r="AL1" s="33"/>
      <c r="AM1" s="33"/>
      <c r="AN1" s="33"/>
      <c r="AO1" s="76"/>
      <c r="AP1" s="80"/>
      <c r="AQ1" s="44"/>
      <c r="AR1" s="44"/>
      <c r="AS1" s="45"/>
    </row>
    <row r="2" spans="1:45" ht="8.25" customHeight="1">
      <c r="A2" s="226"/>
      <c r="B2" s="227"/>
      <c r="C2" s="227"/>
      <c r="D2" s="227"/>
      <c r="E2" s="227"/>
      <c r="F2" s="25"/>
      <c r="G2" s="241" t="str">
        <f>TEXT(G4,"dddd")</f>
        <v>Monday</v>
      </c>
      <c r="H2" s="241"/>
      <c r="I2" s="70"/>
      <c r="J2" s="70"/>
      <c r="K2" s="70"/>
      <c r="L2" s="70"/>
      <c r="M2" s="70"/>
      <c r="N2" s="243" t="str">
        <f>TEXT(N4,"dddd")</f>
        <v>Tuesday</v>
      </c>
      <c r="O2" s="243"/>
      <c r="P2" s="223"/>
      <c r="Q2" s="223"/>
      <c r="R2" s="223"/>
      <c r="S2" s="223"/>
      <c r="T2" s="223"/>
      <c r="U2" s="245" t="str">
        <f>TEXT(U4,"dddd")</f>
        <v>Wednesday</v>
      </c>
      <c r="V2" s="245"/>
      <c r="W2" s="223"/>
      <c r="X2" s="223"/>
      <c r="Y2" s="223"/>
      <c r="Z2" s="223"/>
      <c r="AA2" s="223"/>
      <c r="AB2" s="246" t="str">
        <f>TEXT(AB4,"dddd")</f>
        <v>Thursday</v>
      </c>
      <c r="AC2" s="246"/>
      <c r="AD2" s="223"/>
      <c r="AE2" s="223"/>
      <c r="AF2" s="223"/>
      <c r="AG2" s="223"/>
      <c r="AH2" s="223"/>
      <c r="AI2" s="247" t="str">
        <f>TEXT(AI4,"dddd")</f>
        <v>Friday</v>
      </c>
      <c r="AJ2" s="247"/>
      <c r="AK2" s="222"/>
      <c r="AL2" s="34"/>
      <c r="AM2" s="34"/>
      <c r="AN2" s="34"/>
      <c r="AP2" s="81"/>
      <c r="AS2" s="82"/>
    </row>
    <row r="3" spans="1:45">
      <c r="A3" s="226"/>
      <c r="B3" s="227"/>
      <c r="C3" s="227"/>
      <c r="D3" s="227"/>
      <c r="E3" s="227"/>
      <c r="F3" s="25"/>
      <c r="G3" s="242"/>
      <c r="H3" s="242"/>
      <c r="I3" s="71"/>
      <c r="J3" s="71"/>
      <c r="K3" s="71"/>
      <c r="L3" s="71"/>
      <c r="M3" s="71"/>
      <c r="N3" s="244"/>
      <c r="O3" s="244"/>
      <c r="P3" s="223"/>
      <c r="Q3" s="223"/>
      <c r="R3" s="223"/>
      <c r="S3" s="223"/>
      <c r="T3" s="223"/>
      <c r="U3" s="245"/>
      <c r="V3" s="245"/>
      <c r="W3" s="223"/>
      <c r="X3" s="223"/>
      <c r="Y3" s="223"/>
      <c r="Z3" s="223"/>
      <c r="AA3" s="223"/>
      <c r="AB3" s="246"/>
      <c r="AC3" s="246"/>
      <c r="AD3" s="223"/>
      <c r="AE3" s="223"/>
      <c r="AF3" s="223"/>
      <c r="AG3" s="223"/>
      <c r="AH3" s="223"/>
      <c r="AI3" s="247"/>
      <c r="AJ3" s="247"/>
      <c r="AK3" s="222"/>
      <c r="AL3" s="34"/>
      <c r="AM3" s="34"/>
      <c r="AN3" s="34"/>
      <c r="AP3" s="81"/>
      <c r="AS3" s="82"/>
    </row>
    <row r="4" spans="1:45" ht="16.5" customHeight="1">
      <c r="A4" s="237" t="s">
        <v>4</v>
      </c>
      <c r="B4" s="238"/>
      <c r="C4" s="238"/>
      <c r="D4" s="230" t="s">
        <v>5</v>
      </c>
      <c r="E4" s="231"/>
      <c r="F4" s="25"/>
      <c r="G4" s="240">
        <f>DATE(H1, 1, -2) - WEEKDAY(DATE(H1, 1, 3)) +O1* 7</f>
        <v>45838</v>
      </c>
      <c r="H4" s="240"/>
      <c r="I4" s="71"/>
      <c r="J4" s="71"/>
      <c r="K4" s="71"/>
      <c r="L4" s="71"/>
      <c r="M4" s="71"/>
      <c r="N4" s="240">
        <f>DATE(H1, 1, -2) - WEEKDAY(DATE(H1, 1, 3)) +O1 * 7+1</f>
        <v>45839</v>
      </c>
      <c r="O4" s="240"/>
      <c r="P4" s="223"/>
      <c r="Q4" s="223"/>
      <c r="R4" s="223"/>
      <c r="S4" s="223"/>
      <c r="T4" s="223"/>
      <c r="U4" s="240">
        <f>DATE(H1, 1, -2) - WEEKDAY(DATE(H1, 1, 3)) +O1 * 7+2</f>
        <v>45840</v>
      </c>
      <c r="V4" s="240"/>
      <c r="W4" s="223"/>
      <c r="X4" s="223"/>
      <c r="Y4" s="223"/>
      <c r="Z4" s="223"/>
      <c r="AA4" s="223"/>
      <c r="AB4" s="240">
        <f>DATE(H1, 1, -2) - WEEKDAY(DATE(H1, 1, 3)) +O1 * 7+3</f>
        <v>45841</v>
      </c>
      <c r="AC4" s="240"/>
      <c r="AD4" s="223"/>
      <c r="AE4" s="223"/>
      <c r="AF4" s="223"/>
      <c r="AG4" s="223"/>
      <c r="AH4" s="223"/>
      <c r="AI4" s="240">
        <f>DATE(H1, 1, -2) - WEEKDAY(DATE(H1, 1, 3)) +O1 * 7+4</f>
        <v>45842</v>
      </c>
      <c r="AJ4" s="240"/>
      <c r="AK4" s="222"/>
      <c r="AL4" s="34"/>
      <c r="AM4" s="34"/>
      <c r="AN4" s="34"/>
      <c r="AP4" s="81"/>
      <c r="AS4" s="82"/>
    </row>
    <row r="5" spans="1:45" ht="14.25" customHeight="1">
      <c r="A5" s="237"/>
      <c r="B5" s="238"/>
      <c r="C5" s="238"/>
      <c r="D5" s="232"/>
      <c r="E5" s="233"/>
      <c r="G5" s="250" t="s">
        <v>6</v>
      </c>
      <c r="H5" s="250"/>
      <c r="I5" s="24">
        <f>IF(COUNTA(G8:G107)=0,"No values",(COUNTIF(G8:G107,"✓")+COUNTIF(G8:G107,"||"))/COUNTA(G8:G107)*2)</f>
        <v>1</v>
      </c>
      <c r="J5" s="24"/>
      <c r="K5" s="278" t="s">
        <v>7</v>
      </c>
      <c r="L5" s="278"/>
      <c r="N5" s="248" t="s">
        <v>6</v>
      </c>
      <c r="O5" s="248"/>
      <c r="P5" s="24">
        <f>IF(COUNTA(N8:N107)=0,"No values",(COUNTIF(N8:N107,"✓")+COUNTIF(N8:N107,"||"))/COUNTA(N8:N107)*2)</f>
        <v>1</v>
      </c>
      <c r="Q5" s="24"/>
      <c r="R5" s="278" t="s">
        <v>7</v>
      </c>
      <c r="S5" s="278"/>
      <c r="U5" s="249" t="s">
        <v>6</v>
      </c>
      <c r="V5" s="249"/>
      <c r="W5" s="24">
        <f>IF(COUNTA(U8:U107)=0,"No values",(COUNTIF(U8:U107,"✓")+COUNTIF(U8:U107,"||"))/COUNTA(U8:U107)*2)</f>
        <v>1</v>
      </c>
      <c r="X5" s="24"/>
      <c r="Y5" s="278" t="s">
        <v>7</v>
      </c>
      <c r="Z5" s="278"/>
      <c r="AB5" s="246" t="s">
        <v>6</v>
      </c>
      <c r="AC5" s="246"/>
      <c r="AD5" s="24">
        <f>IF(COUNTA(AB8:AB107)=0,"No values",(COUNTIF(AB8:AB107,"✓")+COUNTIF(AB8:AB107,"||"))/COUNTA(AB8:AB107)*2)</f>
        <v>1</v>
      </c>
      <c r="AE5" s="24"/>
      <c r="AF5" s="278" t="s">
        <v>7</v>
      </c>
      <c r="AG5" s="278"/>
      <c r="AI5" s="247" t="s">
        <v>6</v>
      </c>
      <c r="AJ5" s="247"/>
      <c r="AK5" s="24">
        <f>IF(COUNTA(AI8:AI107)=0,"No values",(COUNTIF(AI8:AI107,"✓")+COUNTIF(AI8:AI107,"||"))/COUNTA(AI8:AI107)*2)</f>
        <v>1</v>
      </c>
      <c r="AL5" s="24"/>
      <c r="AM5" s="278" t="s">
        <v>7</v>
      </c>
      <c r="AN5" s="278"/>
      <c r="AP5" s="81"/>
      <c r="AS5" s="82"/>
    </row>
    <row r="6" spans="1:45" ht="14.45" thickBot="1">
      <c r="A6" s="251"/>
      <c r="B6" s="252"/>
      <c r="C6" s="252"/>
      <c r="D6" s="252"/>
      <c r="E6" s="252"/>
      <c r="F6" s="252"/>
      <c r="G6" s="252"/>
      <c r="H6" s="252"/>
      <c r="I6" s="252"/>
      <c r="J6" s="252"/>
      <c r="K6" s="252"/>
      <c r="L6" s="252"/>
      <c r="M6" s="252"/>
      <c r="N6" s="252"/>
      <c r="O6" s="252"/>
      <c r="P6" s="252"/>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136"/>
      <c r="AQ6" s="137"/>
      <c r="AR6" s="137"/>
      <c r="AS6" s="138"/>
    </row>
    <row r="7" spans="1:45">
      <c r="A7" s="228" t="s">
        <v>8</v>
      </c>
      <c r="B7" s="229"/>
      <c r="C7" s="229"/>
      <c r="D7" s="229"/>
      <c r="E7" s="229"/>
      <c r="F7" s="42"/>
      <c r="G7" s="43"/>
      <c r="H7" s="43"/>
      <c r="I7" s="43"/>
      <c r="J7" s="43"/>
      <c r="K7" s="43"/>
      <c r="L7" s="43"/>
      <c r="M7" s="43"/>
      <c r="N7" s="43"/>
      <c r="O7" s="43"/>
      <c r="P7" s="44"/>
      <c r="Q7" s="43"/>
      <c r="R7" s="43"/>
      <c r="S7" s="43"/>
      <c r="T7" s="44"/>
      <c r="U7" s="44"/>
      <c r="V7" s="44"/>
      <c r="W7" s="44"/>
      <c r="X7" s="43"/>
      <c r="Y7" s="43"/>
      <c r="Z7" s="43"/>
      <c r="AA7" s="44"/>
      <c r="AB7" s="44"/>
      <c r="AC7" s="44"/>
      <c r="AD7" s="44"/>
      <c r="AE7" s="43"/>
      <c r="AF7" s="43"/>
      <c r="AG7" s="43"/>
      <c r="AH7" s="44"/>
      <c r="AI7" s="44"/>
      <c r="AJ7" s="44"/>
      <c r="AK7" s="44"/>
      <c r="AL7" s="43"/>
      <c r="AM7" s="43"/>
      <c r="AN7" s="43"/>
      <c r="AO7" s="44"/>
      <c r="AP7" s="81"/>
      <c r="AQ7" s="143" t="s">
        <v>9</v>
      </c>
      <c r="AR7" s="143"/>
      <c r="AS7" s="82"/>
    </row>
    <row r="8" spans="1:45" ht="14.45">
      <c r="A8" s="253" t="s">
        <v>10</v>
      </c>
      <c r="B8" s="254"/>
      <c r="C8" s="254"/>
      <c r="D8" s="255">
        <v>0.375</v>
      </c>
      <c r="E8" s="256"/>
      <c r="F8" s="9"/>
      <c r="G8" s="3" t="s">
        <v>11</v>
      </c>
      <c r="H8" s="257" t="s">
        <v>12</v>
      </c>
      <c r="I8" s="258"/>
      <c r="J8" s="8"/>
      <c r="K8" s="139">
        <v>68</v>
      </c>
      <c r="L8" s="139"/>
      <c r="M8" s="8"/>
      <c r="N8" s="3" t="s">
        <v>11</v>
      </c>
      <c r="O8" s="141" t="s">
        <v>12</v>
      </c>
      <c r="P8" s="142"/>
      <c r="Q8" s="8"/>
      <c r="R8" s="139">
        <v>62</v>
      </c>
      <c r="S8" s="139"/>
      <c r="T8" s="9"/>
      <c r="U8" s="3" t="s">
        <v>11</v>
      </c>
      <c r="V8" s="141" t="s">
        <v>12</v>
      </c>
      <c r="W8" s="142"/>
      <c r="X8" s="8"/>
      <c r="Y8" s="139">
        <v>96</v>
      </c>
      <c r="Z8" s="139"/>
      <c r="AA8" s="9"/>
      <c r="AB8" s="3" t="s">
        <v>11</v>
      </c>
      <c r="AC8" s="141" t="s">
        <v>12</v>
      </c>
      <c r="AD8" s="142"/>
      <c r="AE8" s="8"/>
      <c r="AF8" s="139">
        <v>77</v>
      </c>
      <c r="AG8" s="139"/>
      <c r="AH8" s="9"/>
      <c r="AI8" s="3" t="s">
        <v>11</v>
      </c>
      <c r="AJ8" s="141" t="s">
        <v>12</v>
      </c>
      <c r="AK8" s="142"/>
      <c r="AL8" s="8"/>
      <c r="AM8" s="139">
        <v>67</v>
      </c>
      <c r="AN8" s="139"/>
      <c r="AO8" s="9"/>
      <c r="AP8" s="83"/>
      <c r="AQ8" s="141">
        <f>K8+R8+Y8+AF8+AM8</f>
        <v>370</v>
      </c>
      <c r="AR8" s="142"/>
      <c r="AS8" s="46"/>
    </row>
    <row r="9" spans="1:45" ht="14.45">
      <c r="A9" s="253"/>
      <c r="B9" s="254"/>
      <c r="C9" s="254"/>
      <c r="D9" s="256"/>
      <c r="E9" s="256"/>
      <c r="F9" s="9"/>
      <c r="G9" s="149" t="s">
        <v>13</v>
      </c>
      <c r="H9" s="149"/>
      <c r="I9" s="149"/>
      <c r="J9" s="8"/>
      <c r="K9" s="149"/>
      <c r="L9" s="149"/>
      <c r="M9" s="8"/>
      <c r="N9" s="155">
        <v>45664.712395833332</v>
      </c>
      <c r="O9" s="149"/>
      <c r="P9" s="149"/>
      <c r="Q9" s="8"/>
      <c r="R9" s="149"/>
      <c r="S9" s="149"/>
      <c r="T9" s="9"/>
      <c r="U9" s="155">
        <v>45695.714085648149</v>
      </c>
      <c r="V9" s="149"/>
      <c r="W9" s="149"/>
      <c r="X9" s="8"/>
      <c r="Y9" s="149"/>
      <c r="Z9" s="149"/>
      <c r="AA9" s="9"/>
      <c r="AB9" s="155">
        <v>45723.747789351852</v>
      </c>
      <c r="AC9" s="149"/>
      <c r="AD9" s="149"/>
      <c r="AE9" s="8"/>
      <c r="AF9" s="149"/>
      <c r="AG9" s="149"/>
      <c r="AH9" s="9"/>
      <c r="AI9" s="155">
        <v>45754.747800925928</v>
      </c>
      <c r="AJ9" s="149"/>
      <c r="AK9" s="149"/>
      <c r="AL9" s="8"/>
      <c r="AM9" s="149"/>
      <c r="AN9" s="149"/>
      <c r="AO9" s="9"/>
      <c r="AP9" s="83"/>
      <c r="AQ9" s="9"/>
      <c r="AR9" s="9"/>
      <c r="AS9" s="46"/>
    </row>
    <row r="10" spans="1:45" ht="15" customHeight="1">
      <c r="A10" s="272" t="s">
        <v>14</v>
      </c>
      <c r="B10" s="273"/>
      <c r="C10" s="273"/>
      <c r="D10" s="276">
        <v>0.41666666666666669</v>
      </c>
      <c r="E10" s="277"/>
      <c r="F10" s="7"/>
      <c r="G10" s="3" t="s">
        <v>11</v>
      </c>
      <c r="H10" s="257" t="s">
        <v>12</v>
      </c>
      <c r="I10" s="258"/>
      <c r="J10" s="6"/>
      <c r="K10" s="139">
        <v>68</v>
      </c>
      <c r="L10" s="139"/>
      <c r="M10" s="6"/>
      <c r="N10" s="3" t="s">
        <v>11</v>
      </c>
      <c r="O10" s="141" t="s">
        <v>12</v>
      </c>
      <c r="P10" s="142"/>
      <c r="Q10" s="6"/>
      <c r="R10" s="139">
        <v>62</v>
      </c>
      <c r="S10" s="139"/>
      <c r="T10" s="7"/>
      <c r="U10" s="3" t="s">
        <v>11</v>
      </c>
      <c r="V10" s="141" t="s">
        <v>12</v>
      </c>
      <c r="W10" s="142"/>
      <c r="X10" s="6"/>
      <c r="Y10" s="139">
        <v>96</v>
      </c>
      <c r="Z10" s="139"/>
      <c r="AA10" s="7"/>
      <c r="AB10" s="3" t="s">
        <v>11</v>
      </c>
      <c r="AC10" s="141" t="s">
        <v>12</v>
      </c>
      <c r="AD10" s="142"/>
      <c r="AE10" s="6"/>
      <c r="AF10" s="139">
        <v>77</v>
      </c>
      <c r="AG10" s="139"/>
      <c r="AH10" s="7"/>
      <c r="AI10" s="3" t="s">
        <v>11</v>
      </c>
      <c r="AJ10" s="141" t="s">
        <v>12</v>
      </c>
      <c r="AK10" s="142"/>
      <c r="AL10" s="6"/>
      <c r="AM10" s="139">
        <v>67</v>
      </c>
      <c r="AN10" s="139"/>
      <c r="AO10" s="7"/>
      <c r="AP10" s="84"/>
      <c r="AQ10" s="141">
        <f>K10+R10+Y10+AF10+AM10</f>
        <v>370</v>
      </c>
      <c r="AR10" s="142"/>
      <c r="AS10" s="48"/>
    </row>
    <row r="11" spans="1:45" ht="14.45">
      <c r="A11" s="274"/>
      <c r="B11" s="275"/>
      <c r="C11" s="275"/>
      <c r="D11" s="277"/>
      <c r="E11" s="277"/>
      <c r="F11" s="7"/>
      <c r="G11" s="140" t="s">
        <v>15</v>
      </c>
      <c r="H11" s="140"/>
      <c r="I11" s="140"/>
      <c r="J11" s="6"/>
      <c r="K11" s="140"/>
      <c r="L11" s="140"/>
      <c r="M11" s="6"/>
      <c r="N11" s="146">
        <v>45664.712407407409</v>
      </c>
      <c r="O11" s="140"/>
      <c r="P11" s="140"/>
      <c r="Q11" s="6"/>
      <c r="R11" s="140"/>
      <c r="S11" s="140"/>
      <c r="T11" s="7"/>
      <c r="U11" s="146">
        <v>45695.714120370372</v>
      </c>
      <c r="V11" s="140"/>
      <c r="W11" s="140"/>
      <c r="X11" s="6"/>
      <c r="Y11" s="140"/>
      <c r="Z11" s="140"/>
      <c r="AA11" s="7"/>
      <c r="AB11" s="146">
        <v>45723.747800925928</v>
      </c>
      <c r="AC11" s="140"/>
      <c r="AD11" s="140"/>
      <c r="AE11" s="6"/>
      <c r="AF11" s="140"/>
      <c r="AG11" s="140"/>
      <c r="AH11" s="7"/>
      <c r="AI11" s="146">
        <v>45754.747812499998</v>
      </c>
      <c r="AJ11" s="140"/>
      <c r="AK11" s="140"/>
      <c r="AL11" s="6"/>
      <c r="AM11" s="140"/>
      <c r="AN11" s="140"/>
      <c r="AO11" s="7"/>
      <c r="AP11" s="84"/>
      <c r="AQ11" s="47"/>
      <c r="AR11" s="47"/>
      <c r="AS11" s="48"/>
    </row>
    <row r="12" spans="1:45" ht="14.45">
      <c r="A12" s="168" t="s">
        <v>16</v>
      </c>
      <c r="B12" s="169"/>
      <c r="C12" s="170"/>
      <c r="D12" s="156">
        <v>0.70833333333333337</v>
      </c>
      <c r="E12" s="259"/>
      <c r="F12" s="9"/>
      <c r="G12" s="3" t="s">
        <v>17</v>
      </c>
      <c r="H12" s="139" t="s">
        <v>18</v>
      </c>
      <c r="I12" s="139"/>
      <c r="J12" s="8"/>
      <c r="K12" s="139">
        <v>0</v>
      </c>
      <c r="L12" s="139"/>
      <c r="M12" s="8"/>
      <c r="N12" s="3" t="s">
        <v>17</v>
      </c>
      <c r="O12" s="139" t="s">
        <v>19</v>
      </c>
      <c r="P12" s="139"/>
      <c r="Q12" s="8"/>
      <c r="R12" s="139">
        <v>0</v>
      </c>
      <c r="S12" s="139"/>
      <c r="T12" s="9"/>
      <c r="U12" s="3" t="s">
        <v>17</v>
      </c>
      <c r="V12" s="139" t="s">
        <v>20</v>
      </c>
      <c r="W12" s="139"/>
      <c r="X12" s="8"/>
      <c r="Y12" s="139">
        <v>0</v>
      </c>
      <c r="Z12" s="139"/>
      <c r="AA12" s="9"/>
      <c r="AB12" s="3" t="s">
        <v>17</v>
      </c>
      <c r="AC12" s="139" t="s">
        <v>21</v>
      </c>
      <c r="AD12" s="139"/>
      <c r="AE12" s="8"/>
      <c r="AF12" s="139">
        <v>0</v>
      </c>
      <c r="AG12" s="139"/>
      <c r="AH12" s="9"/>
      <c r="AI12" s="3" t="s">
        <v>17</v>
      </c>
      <c r="AJ12" s="139" t="s">
        <v>22</v>
      </c>
      <c r="AK12" s="139"/>
      <c r="AL12" s="8"/>
      <c r="AM12" s="139">
        <v>0</v>
      </c>
      <c r="AN12" s="139"/>
      <c r="AO12" s="9"/>
      <c r="AP12" s="85"/>
      <c r="AQ12" s="141">
        <f>K12+R12+Y12+AF12+AM12</f>
        <v>0</v>
      </c>
      <c r="AR12" s="142"/>
      <c r="AS12" s="86"/>
    </row>
    <row r="13" spans="1:45" ht="14.45">
      <c r="A13" s="171"/>
      <c r="B13" s="172"/>
      <c r="C13" s="173"/>
      <c r="D13" s="260"/>
      <c r="E13" s="261"/>
      <c r="F13" s="9"/>
      <c r="G13" s="149" t="s">
        <v>23</v>
      </c>
      <c r="H13" s="149"/>
      <c r="I13" s="149"/>
      <c r="J13" s="8"/>
      <c r="K13" s="149"/>
      <c r="L13" s="149"/>
      <c r="M13" s="8"/>
      <c r="N13" s="149" t="s">
        <v>23</v>
      </c>
      <c r="O13" s="149"/>
      <c r="P13" s="149"/>
      <c r="Q13" s="8"/>
      <c r="R13" s="149"/>
      <c r="S13" s="149"/>
      <c r="T13" s="9"/>
      <c r="U13" s="149" t="s">
        <v>23</v>
      </c>
      <c r="V13" s="149"/>
      <c r="W13" s="149"/>
      <c r="X13" s="8"/>
      <c r="Y13" s="149"/>
      <c r="Z13" s="149"/>
      <c r="AA13" s="9"/>
      <c r="AB13" s="149" t="s">
        <v>23</v>
      </c>
      <c r="AC13" s="149"/>
      <c r="AD13" s="149"/>
      <c r="AE13" s="8"/>
      <c r="AF13" s="149"/>
      <c r="AG13" s="149"/>
      <c r="AH13" s="9"/>
      <c r="AI13" s="149" t="s">
        <v>23</v>
      </c>
      <c r="AJ13" s="149"/>
      <c r="AK13" s="149"/>
      <c r="AL13" s="8"/>
      <c r="AM13" s="149"/>
      <c r="AN13" s="149"/>
      <c r="AO13" s="9"/>
      <c r="AP13" s="85"/>
      <c r="AQ13" s="77"/>
      <c r="AR13" s="77"/>
      <c r="AS13" s="86"/>
    </row>
    <row r="14" spans="1:45" ht="14.45">
      <c r="A14" s="262" t="s">
        <v>24</v>
      </c>
      <c r="B14" s="263"/>
      <c r="C14" s="263"/>
      <c r="D14" s="263"/>
      <c r="E14" s="263"/>
      <c r="F14" s="7"/>
      <c r="G14" s="3" t="s">
        <v>17</v>
      </c>
      <c r="H14" s="141" t="s">
        <v>25</v>
      </c>
      <c r="I14" s="142"/>
      <c r="J14" s="6"/>
      <c r="K14" s="139">
        <v>0</v>
      </c>
      <c r="L14" s="139"/>
      <c r="M14" s="6"/>
      <c r="N14" s="3" t="s">
        <v>17</v>
      </c>
      <c r="O14" s="141" t="s">
        <v>26</v>
      </c>
      <c r="P14" s="142"/>
      <c r="Q14" s="6"/>
      <c r="R14" s="139">
        <v>0</v>
      </c>
      <c r="S14" s="139"/>
      <c r="T14" s="7"/>
      <c r="U14" s="3" t="s">
        <v>17</v>
      </c>
      <c r="V14" s="141" t="s">
        <v>27</v>
      </c>
      <c r="W14" s="142"/>
      <c r="X14" s="6"/>
      <c r="Y14" s="139">
        <v>0</v>
      </c>
      <c r="Z14" s="139"/>
      <c r="AA14" s="7"/>
      <c r="AB14" s="3" t="s">
        <v>17</v>
      </c>
      <c r="AC14" s="141" t="s">
        <v>28</v>
      </c>
      <c r="AD14" s="142"/>
      <c r="AE14" s="6"/>
      <c r="AF14" s="139">
        <v>0</v>
      </c>
      <c r="AG14" s="139"/>
      <c r="AH14" s="7"/>
      <c r="AI14" s="3" t="s">
        <v>17</v>
      </c>
      <c r="AJ14" s="141" t="s">
        <v>29</v>
      </c>
      <c r="AK14" s="142"/>
      <c r="AL14" s="6"/>
      <c r="AM14" s="139">
        <v>0</v>
      </c>
      <c r="AN14" s="139"/>
      <c r="AO14" s="7"/>
      <c r="AP14" s="84"/>
      <c r="AQ14" s="141">
        <f>K14+R14+Y14+AF14+AM14</f>
        <v>0</v>
      </c>
      <c r="AR14" s="142"/>
      <c r="AS14" s="48"/>
    </row>
    <row r="15" spans="1:45" ht="14.45">
      <c r="A15" s="262"/>
      <c r="B15" s="263"/>
      <c r="C15" s="263"/>
      <c r="D15" s="263"/>
      <c r="E15" s="263"/>
      <c r="F15" s="7"/>
      <c r="G15" s="148" t="s">
        <v>30</v>
      </c>
      <c r="H15" s="148"/>
      <c r="I15" s="148"/>
      <c r="J15" s="6"/>
      <c r="K15" s="140"/>
      <c r="L15" s="140"/>
      <c r="M15" s="6"/>
      <c r="N15" s="148" t="s">
        <v>30</v>
      </c>
      <c r="O15" s="148"/>
      <c r="P15" s="148"/>
      <c r="Q15" s="6"/>
      <c r="R15" s="140"/>
      <c r="S15" s="140"/>
      <c r="T15" s="7"/>
      <c r="U15" s="148" t="s">
        <v>30</v>
      </c>
      <c r="V15" s="148"/>
      <c r="W15" s="148"/>
      <c r="X15" s="6"/>
      <c r="Y15" s="140"/>
      <c r="Z15" s="140"/>
      <c r="AA15" s="7"/>
      <c r="AB15" s="148" t="s">
        <v>30</v>
      </c>
      <c r="AC15" s="148"/>
      <c r="AD15" s="148"/>
      <c r="AE15" s="6"/>
      <c r="AF15" s="140"/>
      <c r="AG15" s="140"/>
      <c r="AH15" s="7"/>
      <c r="AI15" s="148" t="s">
        <v>30</v>
      </c>
      <c r="AJ15" s="148"/>
      <c r="AK15" s="148"/>
      <c r="AL15" s="6"/>
      <c r="AM15" s="140"/>
      <c r="AN15" s="140"/>
      <c r="AO15" s="7"/>
      <c r="AP15" s="84"/>
      <c r="AQ15" s="47"/>
      <c r="AR15" s="47"/>
      <c r="AS15" s="48"/>
    </row>
    <row r="16" spans="1:45" ht="14.45">
      <c r="A16" s="162" t="s">
        <v>31</v>
      </c>
      <c r="B16" s="163"/>
      <c r="C16" s="163"/>
      <c r="D16" s="163"/>
      <c r="E16" s="163"/>
      <c r="F16" s="9"/>
      <c r="G16" s="3" t="s">
        <v>11</v>
      </c>
      <c r="H16" s="141" t="s">
        <v>12</v>
      </c>
      <c r="I16" s="142"/>
      <c r="J16" s="8"/>
      <c r="K16" s="149"/>
      <c r="L16" s="149"/>
      <c r="M16" s="8"/>
      <c r="N16" s="3" t="s">
        <v>11</v>
      </c>
      <c r="O16" s="141" t="s">
        <v>12</v>
      </c>
      <c r="P16" s="142"/>
      <c r="Q16" s="8"/>
      <c r="R16" s="149"/>
      <c r="S16" s="149"/>
      <c r="T16" s="8"/>
      <c r="U16" s="3" t="s">
        <v>11</v>
      </c>
      <c r="V16" s="141" t="s">
        <v>12</v>
      </c>
      <c r="W16" s="142"/>
      <c r="X16" s="8"/>
      <c r="Y16" s="149"/>
      <c r="Z16" s="149"/>
      <c r="AA16" s="9"/>
      <c r="AB16" s="3" t="s">
        <v>11</v>
      </c>
      <c r="AC16" s="141" t="s">
        <v>12</v>
      </c>
      <c r="AD16" s="142"/>
      <c r="AE16" s="8"/>
      <c r="AF16" s="149"/>
      <c r="AG16" s="149"/>
      <c r="AH16" s="8"/>
      <c r="AI16" s="3" t="s">
        <v>11</v>
      </c>
      <c r="AJ16" s="141" t="s">
        <v>12</v>
      </c>
      <c r="AK16" s="142"/>
      <c r="AL16" s="8"/>
      <c r="AM16" s="149"/>
      <c r="AN16" s="149"/>
      <c r="AO16" s="9"/>
      <c r="AP16" s="85"/>
      <c r="AQ16" s="77"/>
      <c r="AR16" s="77"/>
      <c r="AS16" s="86"/>
    </row>
    <row r="17" spans="1:45" ht="14.45">
      <c r="A17" s="162"/>
      <c r="B17" s="163"/>
      <c r="C17" s="163"/>
      <c r="D17" s="163"/>
      <c r="E17" s="163"/>
      <c r="F17" s="9"/>
      <c r="G17" s="270" t="s">
        <v>32</v>
      </c>
      <c r="H17" s="270"/>
      <c r="I17" s="270"/>
      <c r="J17" s="8"/>
      <c r="K17" s="149"/>
      <c r="L17" s="149"/>
      <c r="M17" s="8"/>
      <c r="N17" s="271">
        <v>45664.712569444448</v>
      </c>
      <c r="O17" s="270"/>
      <c r="P17" s="270"/>
      <c r="Q17" s="8"/>
      <c r="R17" s="149"/>
      <c r="S17" s="149"/>
      <c r="T17" s="8"/>
      <c r="U17" s="271">
        <v>45695.714756944442</v>
      </c>
      <c r="V17" s="270"/>
      <c r="W17" s="270"/>
      <c r="X17" s="8"/>
      <c r="Y17" s="149"/>
      <c r="Z17" s="149"/>
      <c r="AA17" s="9"/>
      <c r="AB17" s="271">
        <v>45723.74796296296</v>
      </c>
      <c r="AC17" s="270"/>
      <c r="AD17" s="270"/>
      <c r="AE17" s="8"/>
      <c r="AF17" s="149"/>
      <c r="AG17" s="149"/>
      <c r="AH17" s="8"/>
      <c r="AI17" s="271">
        <v>45754.74800925926</v>
      </c>
      <c r="AJ17" s="270"/>
      <c r="AK17" s="270"/>
      <c r="AL17" s="8"/>
      <c r="AM17" s="149"/>
      <c r="AN17" s="149"/>
      <c r="AO17" s="9"/>
      <c r="AP17" s="85"/>
      <c r="AQ17" s="77"/>
      <c r="AR17" s="77"/>
      <c r="AS17" s="86"/>
    </row>
    <row r="18" spans="1:45" ht="14.45">
      <c r="A18" s="262" t="s">
        <v>33</v>
      </c>
      <c r="B18" s="263"/>
      <c r="C18" s="263"/>
      <c r="D18" s="263"/>
      <c r="E18" s="263"/>
      <c r="F18" s="7"/>
      <c r="G18" s="47"/>
      <c r="H18" s="47"/>
      <c r="I18" s="47"/>
      <c r="J18" s="47"/>
      <c r="K18" s="47"/>
      <c r="L18" s="47"/>
      <c r="M18" s="6"/>
      <c r="N18" s="47"/>
      <c r="O18" s="47"/>
      <c r="P18" s="47"/>
      <c r="Q18" s="47"/>
      <c r="R18" s="47"/>
      <c r="S18" s="47"/>
      <c r="T18" s="7"/>
      <c r="U18" s="3" t="s">
        <v>11</v>
      </c>
      <c r="V18" s="141" t="s">
        <v>12</v>
      </c>
      <c r="W18" s="142"/>
      <c r="X18" s="47"/>
      <c r="Y18" s="139">
        <v>22</v>
      </c>
      <c r="Z18" s="139"/>
      <c r="AA18" s="47"/>
      <c r="AB18" s="47"/>
      <c r="AC18" s="47"/>
      <c r="AD18" s="47"/>
      <c r="AE18" s="47"/>
      <c r="AF18" s="47"/>
      <c r="AG18" s="47"/>
      <c r="AH18" s="47"/>
      <c r="AI18" s="47"/>
      <c r="AJ18" s="47"/>
      <c r="AK18" s="47"/>
      <c r="AL18" s="47"/>
      <c r="AM18" s="47"/>
      <c r="AN18" s="47"/>
      <c r="AO18" s="47"/>
      <c r="AP18" s="84"/>
      <c r="AQ18" s="141">
        <f>K18+R18+Y18+AF18+AM18</f>
        <v>22</v>
      </c>
      <c r="AR18" s="142"/>
      <c r="AS18" s="48"/>
    </row>
    <row r="19" spans="1:45" ht="14.45">
      <c r="A19" s="264"/>
      <c r="B19" s="265"/>
      <c r="C19" s="265"/>
      <c r="D19" s="265"/>
      <c r="E19" s="265"/>
      <c r="F19" s="7"/>
      <c r="G19" s="47"/>
      <c r="H19" s="47"/>
      <c r="I19" s="47"/>
      <c r="J19" s="47"/>
      <c r="K19" s="47"/>
      <c r="L19" s="47"/>
      <c r="M19" s="6"/>
      <c r="N19" s="47"/>
      <c r="O19" s="47"/>
      <c r="P19" s="47"/>
      <c r="Q19" s="47"/>
      <c r="R19" s="47"/>
      <c r="S19" s="47"/>
      <c r="T19" s="7"/>
      <c r="U19" s="144">
        <v>45695.714768518519</v>
      </c>
      <c r="V19" s="145"/>
      <c r="W19" s="145"/>
      <c r="X19" s="47"/>
      <c r="Y19" s="140"/>
      <c r="Z19" s="140"/>
      <c r="AA19" s="47"/>
      <c r="AB19" s="47"/>
      <c r="AC19" s="47"/>
      <c r="AD19" s="47"/>
      <c r="AE19" s="47"/>
      <c r="AF19" s="47"/>
      <c r="AG19" s="47"/>
      <c r="AH19" s="47"/>
      <c r="AI19" s="47"/>
      <c r="AJ19" s="47"/>
      <c r="AK19" s="47"/>
      <c r="AL19" s="47"/>
      <c r="AM19" s="47"/>
      <c r="AN19" s="47"/>
      <c r="AO19" s="47"/>
      <c r="AP19" s="84"/>
      <c r="AQ19" s="47"/>
      <c r="AR19" s="47"/>
      <c r="AS19" s="48"/>
    </row>
    <row r="20" spans="1:45">
      <c r="A20" s="166"/>
      <c r="B20" s="167"/>
      <c r="C20" s="167"/>
      <c r="D20" s="167"/>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87"/>
      <c r="AQ20" s="79"/>
      <c r="AR20" s="79"/>
      <c r="AS20" s="88"/>
    </row>
    <row r="21" spans="1:45">
      <c r="A21" s="150" t="s">
        <v>34</v>
      </c>
      <c r="B21" s="151"/>
      <c r="C21" s="151"/>
      <c r="D21" s="151"/>
      <c r="E21" s="151"/>
      <c r="F21" s="160"/>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89"/>
      <c r="AQ21" s="78"/>
      <c r="AR21" s="78"/>
      <c r="AS21" s="90"/>
    </row>
    <row r="22" spans="1:45" ht="14.45">
      <c r="A22" s="262" t="s">
        <v>35</v>
      </c>
      <c r="B22" s="263"/>
      <c r="C22" s="263"/>
      <c r="D22" s="263"/>
      <c r="E22" s="263"/>
      <c r="F22" s="7"/>
      <c r="G22" s="3" t="s">
        <v>11</v>
      </c>
      <c r="H22" s="141" t="s">
        <v>36</v>
      </c>
      <c r="I22" s="142"/>
      <c r="J22" s="6"/>
      <c r="K22" s="6"/>
      <c r="L22" s="6"/>
      <c r="M22" s="6"/>
      <c r="N22" s="3" t="s">
        <v>11</v>
      </c>
      <c r="O22" s="141" t="s">
        <v>36</v>
      </c>
      <c r="P22" s="142"/>
      <c r="Q22" s="6"/>
      <c r="R22" s="6"/>
      <c r="S22" s="6"/>
      <c r="T22" s="6"/>
      <c r="U22" s="3" t="s">
        <v>11</v>
      </c>
      <c r="V22" s="141" t="s">
        <v>36</v>
      </c>
      <c r="W22" s="142"/>
      <c r="X22" s="6"/>
      <c r="Y22" s="6"/>
      <c r="Z22" s="6"/>
      <c r="AA22" s="6"/>
      <c r="AB22" s="3" t="s">
        <v>11</v>
      </c>
      <c r="AC22" s="141" t="s">
        <v>36</v>
      </c>
      <c r="AD22" s="142"/>
      <c r="AE22" s="6"/>
      <c r="AF22" s="6"/>
      <c r="AG22" s="6"/>
      <c r="AH22" s="6"/>
      <c r="AI22" s="3" t="s">
        <v>11</v>
      </c>
      <c r="AJ22" s="141" t="s">
        <v>36</v>
      </c>
      <c r="AK22" s="142"/>
      <c r="AL22" s="6"/>
      <c r="AM22" s="6"/>
      <c r="AN22" s="6"/>
      <c r="AO22" s="6"/>
      <c r="AP22" s="84"/>
      <c r="AQ22" s="47"/>
      <c r="AR22" s="47"/>
      <c r="AS22" s="48"/>
    </row>
    <row r="23" spans="1:45" ht="14.45">
      <c r="A23" s="262"/>
      <c r="B23" s="263"/>
      <c r="C23" s="263"/>
      <c r="D23" s="263"/>
      <c r="E23" s="263"/>
      <c r="F23" s="7"/>
      <c r="G23" s="148" t="s">
        <v>37</v>
      </c>
      <c r="H23" s="148"/>
      <c r="I23" s="148"/>
      <c r="J23" s="6"/>
      <c r="K23" s="6"/>
      <c r="L23" s="6"/>
      <c r="M23" s="6"/>
      <c r="N23" s="147">
        <v>45664.699479166666</v>
      </c>
      <c r="O23" s="148"/>
      <c r="P23" s="148"/>
      <c r="Q23" s="6"/>
      <c r="R23" s="6"/>
      <c r="S23" s="6"/>
      <c r="T23" s="6"/>
      <c r="U23" s="147">
        <v>45695.6953587963</v>
      </c>
      <c r="V23" s="148"/>
      <c r="W23" s="148"/>
      <c r="X23" s="6"/>
      <c r="Y23" s="6"/>
      <c r="Z23" s="6"/>
      <c r="AA23" s="6"/>
      <c r="AB23" s="147">
        <v>45723.690324074072</v>
      </c>
      <c r="AC23" s="148"/>
      <c r="AD23" s="148"/>
      <c r="AE23" s="6"/>
      <c r="AF23" s="6"/>
      <c r="AG23" s="6"/>
      <c r="AH23" s="6"/>
      <c r="AI23" s="147">
        <v>45754.710520833331</v>
      </c>
      <c r="AJ23" s="148"/>
      <c r="AK23" s="148"/>
      <c r="AL23" s="6"/>
      <c r="AM23" s="6"/>
      <c r="AN23" s="6"/>
      <c r="AO23" s="6"/>
      <c r="AP23" s="84"/>
      <c r="AQ23" s="47"/>
      <c r="AR23" s="47"/>
      <c r="AS23" s="48"/>
    </row>
    <row r="24" spans="1:45" ht="14.45">
      <c r="A24" s="162" t="s">
        <v>38</v>
      </c>
      <c r="B24" s="163"/>
      <c r="C24" s="163"/>
      <c r="D24" s="163"/>
      <c r="E24" s="163"/>
      <c r="F24" s="9"/>
      <c r="G24" s="3" t="s">
        <v>11</v>
      </c>
      <c r="H24" s="141" t="s">
        <v>36</v>
      </c>
      <c r="I24" s="142"/>
      <c r="J24" s="8"/>
      <c r="K24" s="8"/>
      <c r="L24" s="8"/>
      <c r="M24" s="8"/>
      <c r="N24" s="3" t="s">
        <v>11</v>
      </c>
      <c r="O24" s="141" t="s">
        <v>36</v>
      </c>
      <c r="P24" s="142"/>
      <c r="Q24" s="8"/>
      <c r="R24" s="8"/>
      <c r="S24" s="8"/>
      <c r="T24" s="8"/>
      <c r="U24" s="3" t="s">
        <v>11</v>
      </c>
      <c r="V24" s="141" t="s">
        <v>36</v>
      </c>
      <c r="W24" s="142"/>
      <c r="X24" s="8"/>
      <c r="Y24" s="8"/>
      <c r="Z24" s="8"/>
      <c r="AA24" s="8"/>
      <c r="AB24" s="3" t="s">
        <v>11</v>
      </c>
      <c r="AC24" s="141" t="s">
        <v>36</v>
      </c>
      <c r="AD24" s="142"/>
      <c r="AE24" s="8"/>
      <c r="AF24" s="8"/>
      <c r="AG24" s="8"/>
      <c r="AH24" s="8"/>
      <c r="AI24" s="3" t="s">
        <v>11</v>
      </c>
      <c r="AJ24" s="141" t="s">
        <v>36</v>
      </c>
      <c r="AK24" s="142"/>
      <c r="AL24" s="8"/>
      <c r="AM24" s="8"/>
      <c r="AN24" s="8"/>
      <c r="AO24" s="8"/>
      <c r="AP24" s="85"/>
      <c r="AQ24" s="77"/>
      <c r="AR24" s="77"/>
      <c r="AS24" s="86"/>
    </row>
    <row r="25" spans="1:45" ht="14.45">
      <c r="A25" s="162"/>
      <c r="B25" s="163"/>
      <c r="C25" s="163"/>
      <c r="D25" s="163"/>
      <c r="E25" s="163"/>
      <c r="F25" s="9"/>
      <c r="G25" s="149" t="s">
        <v>39</v>
      </c>
      <c r="H25" s="149"/>
      <c r="I25" s="149"/>
      <c r="J25" s="8"/>
      <c r="K25" s="8"/>
      <c r="L25" s="8"/>
      <c r="M25" s="8"/>
      <c r="N25" s="155">
        <v>45664.699502314812</v>
      </c>
      <c r="O25" s="149"/>
      <c r="P25" s="149"/>
      <c r="Q25" s="8"/>
      <c r="R25" s="8"/>
      <c r="S25" s="8"/>
      <c r="T25" s="8"/>
      <c r="U25" s="155">
        <v>45695.695381944446</v>
      </c>
      <c r="V25" s="149"/>
      <c r="W25" s="149"/>
      <c r="X25" s="8"/>
      <c r="Y25" s="8"/>
      <c r="Z25" s="8"/>
      <c r="AA25" s="8"/>
      <c r="AB25" s="155">
        <v>45723.694710648146</v>
      </c>
      <c r="AC25" s="149"/>
      <c r="AD25" s="149"/>
      <c r="AE25" s="8"/>
      <c r="AF25" s="8"/>
      <c r="AG25" s="8"/>
      <c r="AH25" s="8"/>
      <c r="AI25" s="155">
        <v>45754.710532407407</v>
      </c>
      <c r="AJ25" s="149"/>
      <c r="AK25" s="149"/>
      <c r="AL25" s="8"/>
      <c r="AM25" s="8"/>
      <c r="AN25" s="8"/>
      <c r="AO25" s="8"/>
      <c r="AP25" s="85"/>
      <c r="AQ25" s="77"/>
      <c r="AR25" s="77"/>
      <c r="AS25" s="86"/>
    </row>
    <row r="26" spans="1:45" ht="14.45">
      <c r="A26" s="262" t="s">
        <v>40</v>
      </c>
      <c r="B26" s="263"/>
      <c r="C26" s="263"/>
      <c r="D26" s="263"/>
      <c r="E26" s="263"/>
      <c r="F26" s="7"/>
      <c r="G26" s="3" t="s">
        <v>11</v>
      </c>
      <c r="H26" s="139" t="s">
        <v>36</v>
      </c>
      <c r="I26" s="139"/>
      <c r="J26" s="139"/>
      <c r="K26" s="139"/>
      <c r="L26" s="139"/>
      <c r="M26" s="139"/>
      <c r="N26" s="139"/>
      <c r="O26" s="139"/>
      <c r="P26" s="139"/>
      <c r="Q26" s="139"/>
      <c r="R26" s="139"/>
      <c r="S26" s="139"/>
      <c r="T26" s="139"/>
      <c r="U26" s="139"/>
      <c r="V26" s="139"/>
      <c r="W26" s="139"/>
      <c r="X26" s="139"/>
      <c r="Y26" s="139"/>
      <c r="Z26" s="139"/>
      <c r="AA26" s="139"/>
      <c r="AB26" s="139"/>
      <c r="AC26" s="139"/>
      <c r="AD26" s="139"/>
      <c r="AE26" s="139"/>
      <c r="AF26" s="139"/>
      <c r="AG26" s="139"/>
      <c r="AH26" s="139"/>
      <c r="AI26" s="139"/>
      <c r="AJ26" s="139"/>
      <c r="AK26" s="139"/>
      <c r="AL26" s="6"/>
      <c r="AM26" s="6"/>
      <c r="AN26" s="6"/>
      <c r="AO26" s="6"/>
      <c r="AP26" s="84"/>
      <c r="AQ26" s="47"/>
      <c r="AR26" s="47"/>
      <c r="AS26" s="48"/>
    </row>
    <row r="27" spans="1:45" ht="14.45">
      <c r="A27" s="262"/>
      <c r="B27" s="263"/>
      <c r="C27" s="263"/>
      <c r="D27" s="263"/>
      <c r="E27" s="263"/>
      <c r="F27" s="7"/>
      <c r="G27" s="146">
        <v>45723.67460648148</v>
      </c>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6"/>
      <c r="AM27" s="6"/>
      <c r="AN27" s="6"/>
      <c r="AO27" s="6"/>
      <c r="AP27" s="84"/>
      <c r="AQ27" s="47"/>
      <c r="AR27" s="47"/>
      <c r="AS27" s="48"/>
    </row>
    <row r="28" spans="1:45" ht="14.45">
      <c r="A28" s="162" t="s">
        <v>41</v>
      </c>
      <c r="B28" s="163"/>
      <c r="C28" s="163"/>
      <c r="D28" s="163"/>
      <c r="E28" s="163"/>
      <c r="F28" s="9"/>
      <c r="G28" s="3" t="s">
        <v>11</v>
      </c>
      <c r="H28" s="139" t="s">
        <v>36</v>
      </c>
      <c r="I28" s="139"/>
      <c r="J28" s="139"/>
      <c r="K28" s="139"/>
      <c r="L28" s="139"/>
      <c r="M28" s="139"/>
      <c r="N28" s="139"/>
      <c r="O28" s="139"/>
      <c r="P28" s="139"/>
      <c r="Q28" s="139"/>
      <c r="R28" s="139"/>
      <c r="S28" s="139"/>
      <c r="T28" s="139"/>
      <c r="U28" s="139"/>
      <c r="V28" s="139"/>
      <c r="W28" s="139"/>
      <c r="X28" s="139"/>
      <c r="Y28" s="139"/>
      <c r="Z28" s="139"/>
      <c r="AA28" s="139"/>
      <c r="AB28" s="139"/>
      <c r="AC28" s="139"/>
      <c r="AD28" s="139"/>
      <c r="AE28" s="139"/>
      <c r="AF28" s="139"/>
      <c r="AG28" s="139"/>
      <c r="AH28" s="139"/>
      <c r="AI28" s="139"/>
      <c r="AJ28" s="139"/>
      <c r="AK28" s="139"/>
      <c r="AL28" s="8"/>
      <c r="AM28" s="8"/>
      <c r="AN28" s="8"/>
      <c r="AO28" s="8"/>
      <c r="AP28" s="85"/>
      <c r="AQ28" s="77"/>
      <c r="AR28" s="77"/>
      <c r="AS28" s="86"/>
    </row>
    <row r="29" spans="1:45" ht="14.45">
      <c r="A29" s="164"/>
      <c r="B29" s="165"/>
      <c r="C29" s="165"/>
      <c r="D29" s="165"/>
      <c r="E29" s="165"/>
      <c r="F29" s="9"/>
      <c r="G29" s="149" t="s">
        <v>42</v>
      </c>
      <c r="H29" s="149"/>
      <c r="I29" s="149"/>
      <c r="J29" s="149"/>
      <c r="K29" s="149"/>
      <c r="L29" s="149"/>
      <c r="M29" s="149"/>
      <c r="N29" s="149"/>
      <c r="O29" s="149"/>
      <c r="P29" s="149"/>
      <c r="Q29" s="149"/>
      <c r="R29" s="149"/>
      <c r="S29" s="149"/>
      <c r="T29" s="149"/>
      <c r="U29" s="149"/>
      <c r="V29" s="149"/>
      <c r="W29" s="149"/>
      <c r="X29" s="149"/>
      <c r="Y29" s="149"/>
      <c r="Z29" s="149"/>
      <c r="AA29" s="149"/>
      <c r="AB29" s="149"/>
      <c r="AC29" s="149"/>
      <c r="AD29" s="149"/>
      <c r="AE29" s="149"/>
      <c r="AF29" s="149"/>
      <c r="AG29" s="149"/>
      <c r="AH29" s="149"/>
      <c r="AI29" s="149"/>
      <c r="AJ29" s="149"/>
      <c r="AK29" s="149"/>
      <c r="AL29" s="8"/>
      <c r="AM29" s="8"/>
      <c r="AN29" s="8"/>
      <c r="AO29" s="8"/>
      <c r="AP29" s="85"/>
      <c r="AQ29" s="77"/>
      <c r="AR29" s="77"/>
      <c r="AS29" s="86"/>
    </row>
    <row r="30" spans="1:45" ht="14.45">
      <c r="A30" s="266" t="s">
        <v>43</v>
      </c>
      <c r="B30" s="267"/>
      <c r="C30" s="267"/>
      <c r="D30" s="154" t="s">
        <v>44</v>
      </c>
      <c r="E30" s="154"/>
      <c r="F30" s="7"/>
      <c r="G30" s="3" t="s">
        <v>11</v>
      </c>
      <c r="H30" s="139" t="s">
        <v>36</v>
      </c>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6"/>
      <c r="AM30" s="6"/>
      <c r="AN30" s="6"/>
      <c r="AO30" s="6"/>
      <c r="AP30" s="84"/>
      <c r="AQ30" s="47"/>
      <c r="AR30" s="47"/>
      <c r="AS30" s="48"/>
    </row>
    <row r="31" spans="1:45" ht="14.45">
      <c r="A31" s="268"/>
      <c r="B31" s="269"/>
      <c r="C31" s="269"/>
      <c r="D31" s="154"/>
      <c r="E31" s="154"/>
      <c r="F31" s="7"/>
      <c r="G31" s="146">
        <v>45723.674618055556</v>
      </c>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6"/>
      <c r="AM31" s="6"/>
      <c r="AN31" s="6"/>
      <c r="AO31" s="6"/>
      <c r="AP31" s="84"/>
      <c r="AQ31" s="47"/>
      <c r="AR31" s="47"/>
      <c r="AS31" s="48"/>
    </row>
    <row r="32" spans="1:45" ht="14.45">
      <c r="A32" s="162" t="s">
        <v>45</v>
      </c>
      <c r="B32" s="163"/>
      <c r="C32" s="163"/>
      <c r="D32" s="163"/>
      <c r="E32" s="163"/>
      <c r="F32" s="9"/>
      <c r="G32" s="3" t="s">
        <v>11</v>
      </c>
      <c r="H32" s="141" t="s">
        <v>36</v>
      </c>
      <c r="I32" s="142"/>
      <c r="J32" s="8"/>
      <c r="K32" s="8"/>
      <c r="L32" s="8"/>
      <c r="M32" s="8"/>
      <c r="N32" s="3" t="s">
        <v>11</v>
      </c>
      <c r="O32" s="141" t="s">
        <v>36</v>
      </c>
      <c r="P32" s="142"/>
      <c r="Q32" s="8"/>
      <c r="R32" s="8"/>
      <c r="S32" s="8"/>
      <c r="T32" s="8"/>
      <c r="U32" s="3" t="s">
        <v>11</v>
      </c>
      <c r="V32" s="141" t="s">
        <v>36</v>
      </c>
      <c r="W32" s="142"/>
      <c r="X32" s="8"/>
      <c r="Y32" s="8"/>
      <c r="Z32" s="8"/>
      <c r="AA32" s="9"/>
      <c r="AB32" s="3" t="s">
        <v>11</v>
      </c>
      <c r="AC32" s="141" t="s">
        <v>36</v>
      </c>
      <c r="AD32" s="142"/>
      <c r="AE32" s="8"/>
      <c r="AF32" s="8"/>
      <c r="AG32" s="8"/>
      <c r="AH32" s="9"/>
      <c r="AI32" s="3" t="s">
        <v>11</v>
      </c>
      <c r="AJ32" s="141" t="s">
        <v>36</v>
      </c>
      <c r="AK32" s="142"/>
      <c r="AL32" s="8"/>
      <c r="AM32" s="8"/>
      <c r="AN32" s="8"/>
      <c r="AO32" s="8"/>
      <c r="AP32" s="85"/>
      <c r="AQ32" s="77"/>
      <c r="AR32" s="77"/>
      <c r="AS32" s="86"/>
    </row>
    <row r="33" spans="1:45" ht="14.45">
      <c r="A33" s="162"/>
      <c r="B33" s="163"/>
      <c r="C33" s="163"/>
      <c r="D33" s="163"/>
      <c r="E33" s="163"/>
      <c r="F33" s="9"/>
      <c r="G33" s="149" t="s">
        <v>46</v>
      </c>
      <c r="H33" s="149"/>
      <c r="I33" s="149"/>
      <c r="J33" s="8"/>
      <c r="K33" s="8"/>
      <c r="L33" s="8"/>
      <c r="M33" s="8"/>
      <c r="N33" s="155">
        <v>45664.699571759258</v>
      </c>
      <c r="O33" s="149"/>
      <c r="P33" s="149"/>
      <c r="Q33" s="8"/>
      <c r="R33" s="8"/>
      <c r="S33" s="8"/>
      <c r="T33" s="8"/>
      <c r="U33" s="155">
        <v>45695.695439814815</v>
      </c>
      <c r="V33" s="149"/>
      <c r="W33" s="149"/>
      <c r="X33" s="8"/>
      <c r="Y33" s="8"/>
      <c r="Z33" s="8"/>
      <c r="AA33" s="9"/>
      <c r="AB33" s="155">
        <v>45723.694733796299</v>
      </c>
      <c r="AC33" s="149"/>
      <c r="AD33" s="149"/>
      <c r="AE33" s="8"/>
      <c r="AF33" s="8"/>
      <c r="AG33" s="8"/>
      <c r="AH33" s="9"/>
      <c r="AI33" s="155">
        <v>45754.71056712963</v>
      </c>
      <c r="AJ33" s="149"/>
      <c r="AK33" s="149"/>
      <c r="AL33" s="8"/>
      <c r="AM33" s="8"/>
      <c r="AN33" s="8"/>
      <c r="AO33" s="8"/>
      <c r="AP33" s="85"/>
      <c r="AQ33" s="77"/>
      <c r="AR33" s="77"/>
      <c r="AS33" s="86"/>
    </row>
    <row r="34" spans="1:45" ht="14.45">
      <c r="A34" s="262" t="s">
        <v>47</v>
      </c>
      <c r="B34" s="263"/>
      <c r="C34" s="263"/>
      <c r="D34" s="263"/>
      <c r="E34" s="263"/>
      <c r="F34" s="7"/>
      <c r="G34" s="3" t="s">
        <v>11</v>
      </c>
      <c r="H34" s="141" t="s">
        <v>36</v>
      </c>
      <c r="I34" s="142"/>
      <c r="J34" s="6"/>
      <c r="K34" s="6"/>
      <c r="L34" s="6"/>
      <c r="M34" s="6"/>
      <c r="N34" s="3" t="s">
        <v>11</v>
      </c>
      <c r="O34" s="141" t="s">
        <v>36</v>
      </c>
      <c r="P34" s="142"/>
      <c r="Q34" s="6"/>
      <c r="R34" s="6"/>
      <c r="S34" s="6"/>
      <c r="T34" s="6"/>
      <c r="U34" s="3" t="s">
        <v>11</v>
      </c>
      <c r="V34" s="141" t="s">
        <v>36</v>
      </c>
      <c r="W34" s="142"/>
      <c r="X34" s="6"/>
      <c r="Y34" s="6"/>
      <c r="Z34" s="6"/>
      <c r="AA34" s="7"/>
      <c r="AB34" s="3" t="s">
        <v>11</v>
      </c>
      <c r="AC34" s="141" t="s">
        <v>36</v>
      </c>
      <c r="AD34" s="142"/>
      <c r="AE34" s="6"/>
      <c r="AF34" s="6"/>
      <c r="AG34" s="6"/>
      <c r="AH34" s="7"/>
      <c r="AI34" s="3" t="s">
        <v>11</v>
      </c>
      <c r="AJ34" s="141" t="s">
        <v>36</v>
      </c>
      <c r="AK34" s="142"/>
      <c r="AL34" s="6"/>
      <c r="AM34" s="6"/>
      <c r="AN34" s="6"/>
      <c r="AO34" s="6"/>
      <c r="AP34" s="84"/>
      <c r="AQ34" s="47"/>
      <c r="AR34" s="47"/>
      <c r="AS34" s="48"/>
    </row>
    <row r="35" spans="1:45" ht="14.45">
      <c r="A35" s="262"/>
      <c r="B35" s="263"/>
      <c r="C35" s="263"/>
      <c r="D35" s="263"/>
      <c r="E35" s="263"/>
      <c r="F35" s="7"/>
      <c r="G35" s="148" t="s">
        <v>48</v>
      </c>
      <c r="H35" s="148"/>
      <c r="I35" s="148"/>
      <c r="J35" s="6"/>
      <c r="K35" s="6"/>
      <c r="L35" s="6"/>
      <c r="M35" s="6"/>
      <c r="N35" s="147">
        <v>45664.699583333335</v>
      </c>
      <c r="O35" s="148"/>
      <c r="P35" s="148"/>
      <c r="Q35" s="6"/>
      <c r="R35" s="6"/>
      <c r="S35" s="6"/>
      <c r="T35" s="6"/>
      <c r="U35" s="147">
        <v>45695.695486111108</v>
      </c>
      <c r="V35" s="148"/>
      <c r="W35" s="148"/>
      <c r="X35" s="6"/>
      <c r="Y35" s="6"/>
      <c r="Z35" s="6"/>
      <c r="AA35" s="7"/>
      <c r="AB35" s="147">
        <v>45723.694780092592</v>
      </c>
      <c r="AC35" s="148"/>
      <c r="AD35" s="148"/>
      <c r="AE35" s="6"/>
      <c r="AF35" s="6"/>
      <c r="AG35" s="6"/>
      <c r="AH35" s="7"/>
      <c r="AI35" s="147">
        <v>45754.710578703707</v>
      </c>
      <c r="AJ35" s="148"/>
      <c r="AK35" s="148"/>
      <c r="AL35" s="6"/>
      <c r="AM35" s="6"/>
      <c r="AN35" s="6"/>
      <c r="AO35" s="6"/>
      <c r="AP35" s="84"/>
      <c r="AQ35" s="47"/>
      <c r="AR35" s="47"/>
      <c r="AS35" s="48"/>
    </row>
    <row r="36" spans="1:45" ht="14.45">
      <c r="A36" s="168" t="s">
        <v>49</v>
      </c>
      <c r="B36" s="169"/>
      <c r="C36" s="170"/>
      <c r="D36" s="156">
        <v>0.70833333333333337</v>
      </c>
      <c r="E36" s="157"/>
      <c r="F36" s="9"/>
      <c r="G36" s="3" t="s">
        <v>11</v>
      </c>
      <c r="H36" s="141" t="s">
        <v>36</v>
      </c>
      <c r="I36" s="142"/>
      <c r="J36" s="8"/>
      <c r="K36" s="8"/>
      <c r="L36" s="8"/>
      <c r="M36" s="8"/>
      <c r="N36" s="3" t="s">
        <v>11</v>
      </c>
      <c r="O36" s="141" t="s">
        <v>36</v>
      </c>
      <c r="P36" s="142"/>
      <c r="Q36" s="8"/>
      <c r="R36" s="8"/>
      <c r="S36" s="8"/>
      <c r="T36" s="8"/>
      <c r="U36" s="3" t="s">
        <v>11</v>
      </c>
      <c r="V36" s="141" t="s">
        <v>36</v>
      </c>
      <c r="W36" s="142"/>
      <c r="X36" s="8"/>
      <c r="Y36" s="8"/>
      <c r="Z36" s="8"/>
      <c r="AA36" s="9"/>
      <c r="AB36" s="3" t="s">
        <v>11</v>
      </c>
      <c r="AC36" s="141" t="s">
        <v>36</v>
      </c>
      <c r="AD36" s="142"/>
      <c r="AE36" s="8"/>
      <c r="AF36" s="8"/>
      <c r="AG36" s="8"/>
      <c r="AH36" s="9"/>
      <c r="AI36" s="3" t="s">
        <v>11</v>
      </c>
      <c r="AJ36" s="141" t="s">
        <v>36</v>
      </c>
      <c r="AK36" s="142"/>
      <c r="AL36" s="8"/>
      <c r="AM36" s="8"/>
      <c r="AN36" s="8"/>
      <c r="AO36" s="8"/>
      <c r="AP36" s="85"/>
      <c r="AQ36" s="77"/>
      <c r="AR36" s="77"/>
      <c r="AS36" s="86"/>
    </row>
    <row r="37" spans="1:45" ht="14.45">
      <c r="A37" s="171"/>
      <c r="B37" s="172"/>
      <c r="C37" s="173"/>
      <c r="D37" s="158"/>
      <c r="E37" s="159"/>
      <c r="F37" s="9"/>
      <c r="G37" s="149" t="s">
        <v>50</v>
      </c>
      <c r="H37" s="149"/>
      <c r="I37" s="149"/>
      <c r="J37" s="8"/>
      <c r="K37" s="8"/>
      <c r="L37" s="8"/>
      <c r="M37" s="8"/>
      <c r="N37" s="155">
        <v>45664.699618055558</v>
      </c>
      <c r="O37" s="149"/>
      <c r="P37" s="149"/>
      <c r="Q37" s="8"/>
      <c r="R37" s="8"/>
      <c r="S37" s="8"/>
      <c r="T37" s="8"/>
      <c r="U37" s="155">
        <v>45695.695509259262</v>
      </c>
      <c r="V37" s="149"/>
      <c r="W37" s="149"/>
      <c r="X37" s="8"/>
      <c r="Y37" s="8"/>
      <c r="Z37" s="8"/>
      <c r="AA37" s="9"/>
      <c r="AB37" s="155">
        <v>45723.711342592593</v>
      </c>
      <c r="AC37" s="149"/>
      <c r="AD37" s="149"/>
      <c r="AE37" s="8"/>
      <c r="AF37" s="8"/>
      <c r="AG37" s="8"/>
      <c r="AH37" s="9"/>
      <c r="AI37" s="155">
        <v>45754.710601851853</v>
      </c>
      <c r="AJ37" s="149"/>
      <c r="AK37" s="149"/>
      <c r="AL37" s="8"/>
      <c r="AM37" s="8"/>
      <c r="AN37" s="8"/>
      <c r="AO37" s="8"/>
      <c r="AP37" s="85"/>
      <c r="AQ37" s="77"/>
      <c r="AR37" s="77"/>
      <c r="AS37" s="86"/>
    </row>
    <row r="38" spans="1:45" ht="14.45">
      <c r="A38" s="262" t="s">
        <v>51</v>
      </c>
      <c r="B38" s="263"/>
      <c r="C38" s="263"/>
      <c r="D38" s="263"/>
      <c r="E38" s="263"/>
      <c r="F38" s="7"/>
      <c r="G38" s="3" t="s">
        <v>11</v>
      </c>
      <c r="H38" s="141" t="s">
        <v>36</v>
      </c>
      <c r="I38" s="142"/>
      <c r="J38" s="6"/>
      <c r="K38" s="6"/>
      <c r="L38" s="6"/>
      <c r="M38" s="6"/>
      <c r="N38" s="3" t="s">
        <v>11</v>
      </c>
      <c r="O38" s="141" t="s">
        <v>36</v>
      </c>
      <c r="P38" s="142"/>
      <c r="Q38" s="6"/>
      <c r="R38" s="6"/>
      <c r="S38" s="6"/>
      <c r="T38" s="6"/>
      <c r="U38" s="3" t="s">
        <v>11</v>
      </c>
      <c r="V38" s="141" t="s">
        <v>36</v>
      </c>
      <c r="W38" s="142"/>
      <c r="X38" s="6"/>
      <c r="Y38" s="6"/>
      <c r="Z38" s="6"/>
      <c r="AA38" s="7"/>
      <c r="AB38" s="3" t="s">
        <v>11</v>
      </c>
      <c r="AC38" s="141" t="s">
        <v>36</v>
      </c>
      <c r="AD38" s="142"/>
      <c r="AE38" s="6"/>
      <c r="AF38" s="6"/>
      <c r="AG38" s="6"/>
      <c r="AH38" s="7"/>
      <c r="AI38" s="3" t="s">
        <v>11</v>
      </c>
      <c r="AJ38" s="141" t="s">
        <v>36</v>
      </c>
      <c r="AK38" s="142"/>
      <c r="AL38" s="6"/>
      <c r="AM38" s="6"/>
      <c r="AN38" s="6"/>
      <c r="AO38" s="6"/>
      <c r="AP38" s="84"/>
      <c r="AQ38" s="47"/>
      <c r="AR38" s="47"/>
      <c r="AS38" s="48"/>
    </row>
    <row r="39" spans="1:45" ht="14.45">
      <c r="A39" s="262"/>
      <c r="B39" s="263"/>
      <c r="C39" s="263"/>
      <c r="D39" s="263"/>
      <c r="E39" s="263"/>
      <c r="F39" s="7"/>
      <c r="G39" s="145" t="s">
        <v>52</v>
      </c>
      <c r="H39" s="145"/>
      <c r="I39" s="145"/>
      <c r="J39" s="6"/>
      <c r="K39" s="6"/>
      <c r="L39" s="6"/>
      <c r="M39" s="6"/>
      <c r="N39" s="144">
        <v>45664.699814814812</v>
      </c>
      <c r="O39" s="145"/>
      <c r="P39" s="145"/>
      <c r="Q39" s="6"/>
      <c r="R39" s="6"/>
      <c r="S39" s="6"/>
      <c r="T39" s="6"/>
      <c r="U39" s="144">
        <v>45695.695532407408</v>
      </c>
      <c r="V39" s="145"/>
      <c r="W39" s="145"/>
      <c r="X39" s="6"/>
      <c r="Y39" s="6"/>
      <c r="Z39" s="6"/>
      <c r="AA39" s="7"/>
      <c r="AB39" s="144">
        <v>45723.711354166669</v>
      </c>
      <c r="AC39" s="145"/>
      <c r="AD39" s="145"/>
      <c r="AE39" s="6"/>
      <c r="AF39" s="6"/>
      <c r="AG39" s="6"/>
      <c r="AH39" s="7"/>
      <c r="AI39" s="144">
        <v>45754.710613425923</v>
      </c>
      <c r="AJ39" s="145"/>
      <c r="AK39" s="145"/>
      <c r="AL39" s="6"/>
      <c r="AM39" s="6"/>
      <c r="AN39" s="6"/>
      <c r="AO39" s="6"/>
      <c r="AP39" s="84"/>
      <c r="AQ39" s="47"/>
      <c r="AR39" s="47"/>
      <c r="AS39" s="48"/>
    </row>
    <row r="40" spans="1:45">
      <c r="A40" s="166"/>
      <c r="B40" s="167"/>
      <c r="C40" s="167"/>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7"/>
      <c r="AJ40" s="167"/>
      <c r="AK40" s="167"/>
      <c r="AL40" s="167"/>
      <c r="AM40" s="167"/>
      <c r="AN40" s="167"/>
      <c r="AO40" s="167"/>
      <c r="AP40" s="87"/>
      <c r="AQ40" s="79"/>
      <c r="AR40" s="79"/>
      <c r="AS40" s="88"/>
    </row>
    <row r="41" spans="1:45">
      <c r="A41" s="150" t="s">
        <v>53</v>
      </c>
      <c r="B41" s="151"/>
      <c r="C41" s="151"/>
      <c r="D41" s="151"/>
      <c r="E41" s="151"/>
      <c r="F41" s="160"/>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89"/>
      <c r="AQ41" s="78"/>
      <c r="AR41" s="78"/>
      <c r="AS41" s="90"/>
    </row>
    <row r="42" spans="1:45">
      <c r="A42" s="152" t="s">
        <v>54</v>
      </c>
      <c r="B42" s="153"/>
      <c r="C42" s="153"/>
      <c r="D42" s="153"/>
      <c r="E42" s="153"/>
      <c r="F42" s="160"/>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61"/>
      <c r="AP42" s="89"/>
      <c r="AQ42" s="78"/>
      <c r="AR42" s="78"/>
      <c r="AS42" s="90"/>
    </row>
    <row r="43" spans="1:45" ht="14.45">
      <c r="A43" s="205" t="s">
        <v>55</v>
      </c>
      <c r="B43" s="206"/>
      <c r="C43" s="207"/>
      <c r="D43" s="154" t="s">
        <v>56</v>
      </c>
      <c r="E43" s="154"/>
      <c r="F43" s="7"/>
      <c r="G43" s="3" t="s">
        <v>11</v>
      </c>
      <c r="H43" s="141" t="s">
        <v>57</v>
      </c>
      <c r="I43" s="142"/>
      <c r="J43" s="6"/>
      <c r="K43" s="139">
        <v>7</v>
      </c>
      <c r="L43" s="139"/>
      <c r="M43" s="6"/>
      <c r="N43" s="3" t="s">
        <v>11</v>
      </c>
      <c r="O43" s="141" t="s">
        <v>57</v>
      </c>
      <c r="P43" s="142"/>
      <c r="Q43" s="6"/>
      <c r="R43" s="139">
        <v>2</v>
      </c>
      <c r="S43" s="139"/>
      <c r="T43" s="6"/>
      <c r="U43" s="140"/>
      <c r="V43" s="140"/>
      <c r="W43" s="140"/>
      <c r="X43" s="140"/>
      <c r="Y43" s="140"/>
      <c r="Z43" s="140"/>
      <c r="AA43" s="140"/>
      <c r="AB43" s="140"/>
      <c r="AC43" s="140"/>
      <c r="AD43" s="140"/>
      <c r="AE43" s="140"/>
      <c r="AF43" s="140"/>
      <c r="AG43" s="140"/>
      <c r="AH43" s="140"/>
      <c r="AI43" s="140"/>
      <c r="AJ43" s="140"/>
      <c r="AK43" s="140"/>
      <c r="AL43" s="140"/>
      <c r="AM43" s="140"/>
      <c r="AN43" s="140"/>
      <c r="AO43" s="140"/>
      <c r="AP43" s="84"/>
      <c r="AQ43" s="141">
        <f>K43+R43</f>
        <v>9</v>
      </c>
      <c r="AR43" s="142"/>
      <c r="AS43" s="48"/>
    </row>
    <row r="44" spans="1:45" ht="14.45">
      <c r="A44" s="208"/>
      <c r="B44" s="209"/>
      <c r="C44" s="210"/>
      <c r="D44" s="154"/>
      <c r="E44" s="154"/>
      <c r="F44" s="7"/>
      <c r="G44" s="148" t="s">
        <v>58</v>
      </c>
      <c r="H44" s="148"/>
      <c r="I44" s="148"/>
      <c r="J44" s="6"/>
      <c r="K44" s="140"/>
      <c r="L44" s="140"/>
      <c r="M44" s="6"/>
      <c r="N44" s="147">
        <v>45664.654826388891</v>
      </c>
      <c r="O44" s="148"/>
      <c r="P44" s="148"/>
      <c r="Q44" s="6"/>
      <c r="R44" s="140"/>
      <c r="S44" s="140"/>
      <c r="T44" s="6"/>
      <c r="U44" s="140"/>
      <c r="V44" s="140"/>
      <c r="W44" s="140"/>
      <c r="X44" s="140"/>
      <c r="Y44" s="140"/>
      <c r="Z44" s="140"/>
      <c r="AA44" s="140"/>
      <c r="AB44" s="140"/>
      <c r="AC44" s="140"/>
      <c r="AD44" s="140"/>
      <c r="AE44" s="140"/>
      <c r="AF44" s="140"/>
      <c r="AG44" s="140"/>
      <c r="AH44" s="140"/>
      <c r="AI44" s="140"/>
      <c r="AJ44" s="140"/>
      <c r="AK44" s="140"/>
      <c r="AL44" s="140"/>
      <c r="AM44" s="140"/>
      <c r="AN44" s="140"/>
      <c r="AO44" s="140"/>
      <c r="AP44" s="84"/>
      <c r="AQ44" s="47"/>
      <c r="AR44" s="47"/>
      <c r="AS44" s="48"/>
    </row>
    <row r="45" spans="1:45" ht="14.45">
      <c r="A45" s="162" t="s">
        <v>59</v>
      </c>
      <c r="B45" s="163"/>
      <c r="C45" s="163"/>
      <c r="D45" s="163"/>
      <c r="E45" s="163"/>
      <c r="F45" s="9"/>
      <c r="G45" s="3" t="s">
        <v>11</v>
      </c>
      <c r="H45" s="141" t="s">
        <v>57</v>
      </c>
      <c r="I45" s="142"/>
      <c r="J45" s="8"/>
      <c r="K45" s="139">
        <v>2</v>
      </c>
      <c r="L45" s="139"/>
      <c r="M45" s="8"/>
      <c r="N45" s="3" t="s">
        <v>11</v>
      </c>
      <c r="O45" s="141" t="s">
        <v>57</v>
      </c>
      <c r="P45" s="142"/>
      <c r="Q45" s="8"/>
      <c r="R45" s="139">
        <v>2</v>
      </c>
      <c r="S45" s="139"/>
      <c r="T45" s="8"/>
      <c r="U45" s="3" t="s">
        <v>11</v>
      </c>
      <c r="V45" s="141" t="s">
        <v>57</v>
      </c>
      <c r="W45" s="142"/>
      <c r="X45" s="8"/>
      <c r="Y45" s="139">
        <v>2</v>
      </c>
      <c r="Z45" s="139"/>
      <c r="AA45" s="8"/>
      <c r="AB45" s="3" t="s">
        <v>11</v>
      </c>
      <c r="AC45" s="141" t="s">
        <v>57</v>
      </c>
      <c r="AD45" s="142"/>
      <c r="AE45" s="8"/>
      <c r="AF45" s="139">
        <v>2</v>
      </c>
      <c r="AG45" s="139"/>
      <c r="AH45" s="8"/>
      <c r="AI45" s="3" t="s">
        <v>11</v>
      </c>
      <c r="AJ45" s="141" t="s">
        <v>60</v>
      </c>
      <c r="AK45" s="142"/>
      <c r="AL45" s="8"/>
      <c r="AM45" s="139">
        <v>2</v>
      </c>
      <c r="AN45" s="139"/>
      <c r="AO45" s="8"/>
      <c r="AP45" s="85"/>
      <c r="AQ45" s="141">
        <f>K45+R45+Y45+AF45+AM45</f>
        <v>10</v>
      </c>
      <c r="AR45" s="142"/>
      <c r="AS45" s="86"/>
    </row>
    <row r="46" spans="1:45" ht="14.45">
      <c r="A46" s="164"/>
      <c r="B46" s="165"/>
      <c r="C46" s="165"/>
      <c r="D46" s="165"/>
      <c r="E46" s="165"/>
      <c r="F46" s="9"/>
      <c r="G46" s="149" t="s">
        <v>61</v>
      </c>
      <c r="H46" s="149"/>
      <c r="I46" s="149"/>
      <c r="J46" s="8"/>
      <c r="K46" s="149"/>
      <c r="L46" s="149"/>
      <c r="M46" s="8"/>
      <c r="N46" s="155">
        <v>45664.654780092591</v>
      </c>
      <c r="O46" s="149"/>
      <c r="P46" s="149"/>
      <c r="Q46" s="8"/>
      <c r="R46" s="149"/>
      <c r="S46" s="149"/>
      <c r="T46" s="8"/>
      <c r="U46" s="155">
        <v>45695.622789351852</v>
      </c>
      <c r="V46" s="149"/>
      <c r="W46" s="149"/>
      <c r="X46" s="8"/>
      <c r="Y46" s="149"/>
      <c r="Z46" s="149"/>
      <c r="AA46" s="8"/>
      <c r="AB46" s="155">
        <v>45723.653078703705</v>
      </c>
      <c r="AC46" s="149"/>
      <c r="AD46" s="149"/>
      <c r="AE46" s="8"/>
      <c r="AF46" s="149"/>
      <c r="AG46" s="149"/>
      <c r="AH46" s="8"/>
      <c r="AI46" s="155">
        <v>45754.379432870373</v>
      </c>
      <c r="AJ46" s="149"/>
      <c r="AK46" s="149"/>
      <c r="AL46" s="8"/>
      <c r="AM46" s="149"/>
      <c r="AN46" s="149"/>
      <c r="AO46" s="8"/>
      <c r="AP46" s="85"/>
      <c r="AQ46" s="77"/>
      <c r="AR46" s="77"/>
      <c r="AS46" s="86"/>
    </row>
    <row r="47" spans="1:45" ht="14.45">
      <c r="A47" s="262" t="s">
        <v>62</v>
      </c>
      <c r="B47" s="263"/>
      <c r="C47" s="263"/>
      <c r="D47" s="263"/>
      <c r="E47" s="263"/>
      <c r="F47" s="7"/>
      <c r="G47" s="3" t="s">
        <v>11</v>
      </c>
      <c r="H47" s="141" t="s">
        <v>57</v>
      </c>
      <c r="I47" s="142"/>
      <c r="J47" s="6"/>
      <c r="K47" s="140"/>
      <c r="L47" s="140"/>
      <c r="M47" s="6"/>
      <c r="N47" s="3" t="s">
        <v>11</v>
      </c>
      <c r="O47" s="141" t="s">
        <v>57</v>
      </c>
      <c r="P47" s="142"/>
      <c r="Q47" s="6"/>
      <c r="R47" s="140"/>
      <c r="S47" s="140"/>
      <c r="T47" s="6"/>
      <c r="U47" s="3" t="s">
        <v>11</v>
      </c>
      <c r="V47" s="141" t="s">
        <v>57</v>
      </c>
      <c r="W47" s="142"/>
      <c r="X47" s="6"/>
      <c r="Y47" s="140"/>
      <c r="Z47" s="140"/>
      <c r="AA47" s="6"/>
      <c r="AB47" s="3" t="s">
        <v>11</v>
      </c>
      <c r="AC47" s="141" t="s">
        <v>57</v>
      </c>
      <c r="AD47" s="142"/>
      <c r="AE47" s="6"/>
      <c r="AF47" s="140"/>
      <c r="AG47" s="140"/>
      <c r="AH47" s="6"/>
      <c r="AI47" s="3" t="s">
        <v>11</v>
      </c>
      <c r="AJ47" s="141" t="s">
        <v>60</v>
      </c>
      <c r="AK47" s="142"/>
      <c r="AL47" s="6"/>
      <c r="AM47" s="140"/>
      <c r="AN47" s="140"/>
      <c r="AO47" s="6"/>
      <c r="AP47" s="84"/>
      <c r="AQ47" s="140"/>
      <c r="AR47" s="140"/>
      <c r="AS47" s="48"/>
    </row>
    <row r="48" spans="1:45" ht="14.45">
      <c r="A48" s="262"/>
      <c r="B48" s="263"/>
      <c r="C48" s="263"/>
      <c r="D48" s="263"/>
      <c r="E48" s="263"/>
      <c r="F48" s="7"/>
      <c r="G48" s="140" t="s">
        <v>63</v>
      </c>
      <c r="H48" s="140"/>
      <c r="I48" s="140"/>
      <c r="J48" s="6"/>
      <c r="K48" s="140"/>
      <c r="L48" s="140"/>
      <c r="M48" s="6"/>
      <c r="N48" s="146">
        <v>45664.654745370368</v>
      </c>
      <c r="O48" s="140"/>
      <c r="P48" s="140"/>
      <c r="Q48" s="6"/>
      <c r="R48" s="140"/>
      <c r="S48" s="140"/>
      <c r="T48" s="6"/>
      <c r="U48" s="146">
        <v>45695.622893518521</v>
      </c>
      <c r="V48" s="140"/>
      <c r="W48" s="140"/>
      <c r="X48" s="6"/>
      <c r="Y48" s="140"/>
      <c r="Z48" s="140"/>
      <c r="AA48" s="6"/>
      <c r="AB48" s="146">
        <v>45723.653171296297</v>
      </c>
      <c r="AC48" s="140"/>
      <c r="AD48" s="140"/>
      <c r="AE48" s="6"/>
      <c r="AF48" s="140"/>
      <c r="AG48" s="140"/>
      <c r="AH48" s="6"/>
      <c r="AI48" s="146">
        <v>45754.379467592589</v>
      </c>
      <c r="AJ48" s="140"/>
      <c r="AK48" s="140"/>
      <c r="AL48" s="6"/>
      <c r="AM48" s="140"/>
      <c r="AN48" s="140"/>
      <c r="AO48" s="6"/>
      <c r="AP48" s="84"/>
      <c r="AQ48" s="47"/>
      <c r="AR48" s="47"/>
      <c r="AS48" s="48"/>
    </row>
    <row r="49" spans="1:45">
      <c r="A49" s="287" t="s">
        <v>64</v>
      </c>
      <c r="B49" s="288"/>
      <c r="C49" s="288"/>
      <c r="D49" s="288"/>
      <c r="E49" s="288"/>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8"/>
      <c r="AJ49" s="288"/>
      <c r="AK49" s="288"/>
      <c r="AL49" s="288"/>
      <c r="AM49" s="288"/>
      <c r="AN49" s="288"/>
      <c r="AO49" s="288"/>
      <c r="AP49" s="89"/>
      <c r="AQ49" s="78"/>
      <c r="AR49" s="78"/>
      <c r="AS49" s="90"/>
    </row>
    <row r="50" spans="1:45" ht="14.45">
      <c r="A50" s="211" t="s">
        <v>65</v>
      </c>
      <c r="B50" s="212"/>
      <c r="C50" s="212"/>
      <c r="D50" s="156">
        <v>0.375</v>
      </c>
      <c r="E50" s="157"/>
      <c r="F50" s="7"/>
      <c r="G50" s="3" t="s">
        <v>11</v>
      </c>
      <c r="H50" s="141" t="s">
        <v>57</v>
      </c>
      <c r="I50" s="142"/>
      <c r="J50" s="6"/>
      <c r="K50" s="139">
        <v>12</v>
      </c>
      <c r="L50" s="139"/>
      <c r="M50" s="6"/>
      <c r="N50" s="3" t="s">
        <v>11</v>
      </c>
      <c r="O50" s="141" t="s">
        <v>57</v>
      </c>
      <c r="P50" s="142"/>
      <c r="Q50" s="6"/>
      <c r="R50" s="139">
        <v>10</v>
      </c>
      <c r="S50" s="139"/>
      <c r="T50" s="6"/>
      <c r="U50" s="3" t="s">
        <v>11</v>
      </c>
      <c r="V50" s="141" t="s">
        <v>57</v>
      </c>
      <c r="W50" s="142"/>
      <c r="X50" s="6"/>
      <c r="Y50" s="139">
        <v>7</v>
      </c>
      <c r="Z50" s="139"/>
      <c r="AA50" s="6"/>
      <c r="AB50" s="3" t="s">
        <v>11</v>
      </c>
      <c r="AC50" s="141" t="s">
        <v>57</v>
      </c>
      <c r="AD50" s="142"/>
      <c r="AE50" s="6"/>
      <c r="AF50" s="139">
        <v>0</v>
      </c>
      <c r="AG50" s="139"/>
      <c r="AH50" s="6"/>
      <c r="AI50" s="3" t="s">
        <v>11</v>
      </c>
      <c r="AJ50" s="141" t="s">
        <v>60</v>
      </c>
      <c r="AK50" s="142"/>
      <c r="AL50" s="6"/>
      <c r="AM50" s="139">
        <v>0</v>
      </c>
      <c r="AN50" s="139"/>
      <c r="AO50" s="6"/>
      <c r="AP50" s="84"/>
      <c r="AQ50" s="141">
        <f>K50+R50+Y50+AF50+AM50</f>
        <v>29</v>
      </c>
      <c r="AR50" s="142"/>
      <c r="AS50" s="48"/>
    </row>
    <row r="51" spans="1:45" ht="14.45">
      <c r="A51" s="211"/>
      <c r="B51" s="212"/>
      <c r="C51" s="212"/>
      <c r="D51" s="279"/>
      <c r="E51" s="280"/>
      <c r="F51" s="7"/>
      <c r="G51" s="148" t="s">
        <v>66</v>
      </c>
      <c r="H51" s="148"/>
      <c r="I51" s="148"/>
      <c r="J51" s="6"/>
      <c r="K51" s="140"/>
      <c r="L51" s="140"/>
      <c r="M51" s="6"/>
      <c r="N51" s="147">
        <v>45664.654710648145</v>
      </c>
      <c r="O51" s="148"/>
      <c r="P51" s="148"/>
      <c r="Q51" s="6"/>
      <c r="R51" s="140"/>
      <c r="S51" s="140"/>
      <c r="T51" s="6"/>
      <c r="U51" s="147">
        <v>45695.622928240744</v>
      </c>
      <c r="V51" s="148"/>
      <c r="W51" s="148"/>
      <c r="X51" s="6"/>
      <c r="Y51" s="140"/>
      <c r="Z51" s="140"/>
      <c r="AA51" s="6"/>
      <c r="AB51" s="147">
        <v>45723.65320601852</v>
      </c>
      <c r="AC51" s="148"/>
      <c r="AD51" s="148"/>
      <c r="AE51" s="6"/>
      <c r="AF51" s="140"/>
      <c r="AG51" s="140"/>
      <c r="AH51" s="6"/>
      <c r="AI51" s="147">
        <v>45754.382326388892</v>
      </c>
      <c r="AJ51" s="148"/>
      <c r="AK51" s="148"/>
      <c r="AL51" s="6"/>
      <c r="AM51" s="140"/>
      <c r="AN51" s="140"/>
      <c r="AO51" s="6"/>
      <c r="AP51" s="84"/>
      <c r="AQ51" s="47"/>
      <c r="AR51" s="47"/>
      <c r="AS51" s="48"/>
    </row>
    <row r="52" spans="1:45" ht="14.45">
      <c r="A52" s="211" t="s">
        <v>67</v>
      </c>
      <c r="B52" s="212"/>
      <c r="C52" s="212"/>
      <c r="D52" s="156">
        <v>0.41666666666666669</v>
      </c>
      <c r="E52" s="157"/>
      <c r="F52" s="9"/>
      <c r="G52" s="3" t="s">
        <v>11</v>
      </c>
      <c r="H52" s="141" t="s">
        <v>57</v>
      </c>
      <c r="I52" s="142"/>
      <c r="J52" s="8"/>
      <c r="K52" s="149"/>
      <c r="L52" s="149"/>
      <c r="M52" s="8"/>
      <c r="N52" s="3" t="s">
        <v>11</v>
      </c>
      <c r="O52" s="141" t="s">
        <v>57</v>
      </c>
      <c r="P52" s="142"/>
      <c r="Q52" s="8"/>
      <c r="R52" s="149"/>
      <c r="S52" s="149"/>
      <c r="T52" s="8"/>
      <c r="U52" s="3" t="s">
        <v>11</v>
      </c>
      <c r="V52" s="141" t="s">
        <v>57</v>
      </c>
      <c r="W52" s="142"/>
      <c r="X52" s="8"/>
      <c r="Y52" s="149"/>
      <c r="Z52" s="149"/>
      <c r="AA52" s="8"/>
      <c r="AB52" s="3" t="s">
        <v>11</v>
      </c>
      <c r="AC52" s="141" t="s">
        <v>57</v>
      </c>
      <c r="AD52" s="142"/>
      <c r="AE52" s="8"/>
      <c r="AF52" s="149"/>
      <c r="AG52" s="149"/>
      <c r="AH52" s="8"/>
      <c r="AI52" s="3" t="s">
        <v>11</v>
      </c>
      <c r="AJ52" s="141" t="s">
        <v>60</v>
      </c>
      <c r="AK52" s="142"/>
      <c r="AL52" s="8"/>
      <c r="AM52" s="149"/>
      <c r="AN52" s="149"/>
      <c r="AO52" s="8"/>
      <c r="AP52" s="85"/>
      <c r="AQ52" s="149"/>
      <c r="AR52" s="149"/>
      <c r="AS52" s="86"/>
    </row>
    <row r="53" spans="1:45" ht="14.45">
      <c r="A53" s="211"/>
      <c r="B53" s="212"/>
      <c r="C53" s="212"/>
      <c r="D53" s="279"/>
      <c r="E53" s="280"/>
      <c r="F53" s="9"/>
      <c r="G53" s="149" t="s">
        <v>68</v>
      </c>
      <c r="H53" s="149"/>
      <c r="I53" s="149"/>
      <c r="J53" s="8"/>
      <c r="K53" s="149"/>
      <c r="L53" s="149"/>
      <c r="M53" s="8"/>
      <c r="N53" s="155">
        <v>45664.653958333336</v>
      </c>
      <c r="O53" s="149"/>
      <c r="P53" s="149"/>
      <c r="Q53" s="8"/>
      <c r="R53" s="149"/>
      <c r="S53" s="149"/>
      <c r="T53" s="8"/>
      <c r="U53" s="155">
        <v>45695.623032407406</v>
      </c>
      <c r="V53" s="149"/>
      <c r="W53" s="149"/>
      <c r="X53" s="8"/>
      <c r="Y53" s="149"/>
      <c r="Z53" s="149"/>
      <c r="AA53" s="8"/>
      <c r="AB53" s="155">
        <v>45723.653287037036</v>
      </c>
      <c r="AC53" s="149"/>
      <c r="AD53" s="149"/>
      <c r="AE53" s="8"/>
      <c r="AF53" s="149"/>
      <c r="AG53" s="149"/>
      <c r="AH53" s="8"/>
      <c r="AI53" s="155">
        <v>45754.382361111115</v>
      </c>
      <c r="AJ53" s="149"/>
      <c r="AK53" s="149"/>
      <c r="AL53" s="8"/>
      <c r="AM53" s="149"/>
      <c r="AN53" s="149"/>
      <c r="AO53" s="8"/>
      <c r="AP53" s="85"/>
      <c r="AQ53" s="77"/>
      <c r="AR53" s="77"/>
      <c r="AS53" s="86"/>
    </row>
    <row r="54" spans="1:45" ht="14.45">
      <c r="A54" s="195" t="s">
        <v>69</v>
      </c>
      <c r="B54" s="196"/>
      <c r="C54" s="196"/>
      <c r="D54" s="281" t="s">
        <v>70</v>
      </c>
      <c r="E54" s="282"/>
      <c r="F54" s="7"/>
      <c r="G54" s="3" t="s">
        <v>11</v>
      </c>
      <c r="H54" s="141" t="s">
        <v>57</v>
      </c>
      <c r="I54" s="142"/>
      <c r="J54" s="6"/>
      <c r="K54" s="140"/>
      <c r="L54" s="140"/>
      <c r="M54" s="6"/>
      <c r="N54" s="3" t="s">
        <v>11</v>
      </c>
      <c r="O54" s="141" t="s">
        <v>57</v>
      </c>
      <c r="P54" s="142"/>
      <c r="Q54" s="6"/>
      <c r="R54" s="140"/>
      <c r="S54" s="140"/>
      <c r="T54" s="6"/>
      <c r="U54" s="3" t="s">
        <v>11</v>
      </c>
      <c r="V54" s="141" t="s">
        <v>57</v>
      </c>
      <c r="W54" s="142"/>
      <c r="X54" s="6"/>
      <c r="Y54" s="140"/>
      <c r="Z54" s="140"/>
      <c r="AA54" s="6"/>
      <c r="AB54" s="3" t="s">
        <v>11</v>
      </c>
      <c r="AC54" s="141" t="s">
        <v>57</v>
      </c>
      <c r="AD54" s="142"/>
      <c r="AE54" s="6"/>
      <c r="AF54" s="140"/>
      <c r="AG54" s="140"/>
      <c r="AH54" s="6"/>
      <c r="AI54" s="3" t="s">
        <v>11</v>
      </c>
      <c r="AJ54" s="141" t="s">
        <v>60</v>
      </c>
      <c r="AK54" s="142"/>
      <c r="AL54" s="6"/>
      <c r="AM54" s="140"/>
      <c r="AN54" s="140"/>
      <c r="AO54" s="6"/>
      <c r="AP54" s="84"/>
      <c r="AQ54" s="140"/>
      <c r="AR54" s="140"/>
      <c r="AS54" s="48"/>
    </row>
    <row r="55" spans="1:45" ht="14.45">
      <c r="A55" s="195"/>
      <c r="B55" s="196"/>
      <c r="C55" s="196"/>
      <c r="D55" s="285"/>
      <c r="E55" s="286"/>
      <c r="F55" s="7"/>
      <c r="G55" s="140" t="s">
        <v>71</v>
      </c>
      <c r="H55" s="140"/>
      <c r="I55" s="140"/>
      <c r="J55" s="6"/>
      <c r="K55" s="140"/>
      <c r="L55" s="140"/>
      <c r="M55" s="6"/>
      <c r="N55" s="146">
        <v>45664.653923611113</v>
      </c>
      <c r="O55" s="140"/>
      <c r="P55" s="140"/>
      <c r="Q55" s="6"/>
      <c r="R55" s="140"/>
      <c r="S55" s="140"/>
      <c r="T55" s="6"/>
      <c r="U55" s="146">
        <v>45695.623067129629</v>
      </c>
      <c r="V55" s="140"/>
      <c r="W55" s="140"/>
      <c r="X55" s="6"/>
      <c r="Y55" s="140"/>
      <c r="Z55" s="140"/>
      <c r="AA55" s="6"/>
      <c r="AB55" s="146">
        <v>45723.653333333335</v>
      </c>
      <c r="AC55" s="140"/>
      <c r="AD55" s="140"/>
      <c r="AE55" s="6"/>
      <c r="AF55" s="140"/>
      <c r="AG55" s="140"/>
      <c r="AH55" s="6"/>
      <c r="AI55" s="146">
        <v>45754.382372685184</v>
      </c>
      <c r="AJ55" s="140"/>
      <c r="AK55" s="140"/>
      <c r="AL55" s="6"/>
      <c r="AM55" s="140"/>
      <c r="AN55" s="140"/>
      <c r="AO55" s="6"/>
      <c r="AP55" s="84"/>
      <c r="AQ55" s="47"/>
      <c r="AR55" s="47"/>
      <c r="AS55" s="48"/>
    </row>
    <row r="56" spans="1:45" ht="14.45">
      <c r="A56" s="183" t="s">
        <v>72</v>
      </c>
      <c r="B56" s="184"/>
      <c r="C56" s="184"/>
      <c r="D56" s="184"/>
      <c r="E56" s="185"/>
      <c r="F56" s="9"/>
      <c r="G56" s="3" t="s">
        <v>11</v>
      </c>
      <c r="H56" s="139" t="s">
        <v>57</v>
      </c>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8"/>
      <c r="AM56" s="149"/>
      <c r="AN56" s="149"/>
      <c r="AO56" s="8"/>
      <c r="AP56" s="85"/>
      <c r="AQ56" s="77"/>
      <c r="AR56" s="77"/>
      <c r="AS56" s="86"/>
    </row>
    <row r="57" spans="1:45" ht="14.45">
      <c r="A57" s="186"/>
      <c r="B57" s="187"/>
      <c r="C57" s="187"/>
      <c r="D57" s="187"/>
      <c r="E57" s="188"/>
      <c r="F57" s="9"/>
      <c r="G57" s="155">
        <v>45723.65351851852</v>
      </c>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8"/>
      <c r="AM57" s="8"/>
      <c r="AN57" s="8"/>
      <c r="AO57" s="9"/>
      <c r="AP57" s="85"/>
      <c r="AQ57" s="77"/>
      <c r="AR57" s="77"/>
      <c r="AS57" s="86"/>
    </row>
    <row r="58" spans="1:45" ht="14.45">
      <c r="A58" s="168" t="s">
        <v>73</v>
      </c>
      <c r="B58" s="169"/>
      <c r="C58" s="170"/>
      <c r="D58" s="281" t="s">
        <v>74</v>
      </c>
      <c r="E58" s="282"/>
      <c r="F58" s="9"/>
      <c r="G58" s="3" t="s">
        <v>11</v>
      </c>
      <c r="H58" s="141" t="s">
        <v>57</v>
      </c>
      <c r="I58" s="142"/>
      <c r="J58" s="8"/>
      <c r="K58" s="149"/>
      <c r="L58" s="149"/>
      <c r="M58" s="8"/>
      <c r="N58" s="3" t="s">
        <v>11</v>
      </c>
      <c r="O58" s="141" t="s">
        <v>57</v>
      </c>
      <c r="P58" s="142"/>
      <c r="Q58" s="8"/>
      <c r="R58" s="149"/>
      <c r="S58" s="149"/>
      <c r="T58" s="8"/>
      <c r="U58" s="3" t="s">
        <v>11</v>
      </c>
      <c r="V58" s="141" t="s">
        <v>57</v>
      </c>
      <c r="W58" s="142"/>
      <c r="X58" s="8"/>
      <c r="Y58" s="149"/>
      <c r="Z58" s="149"/>
      <c r="AA58" s="8"/>
      <c r="AB58" s="3" t="s">
        <v>11</v>
      </c>
      <c r="AC58" s="141" t="s">
        <v>57</v>
      </c>
      <c r="AD58" s="142"/>
      <c r="AE58" s="8"/>
      <c r="AF58" s="149"/>
      <c r="AG58" s="149"/>
      <c r="AH58" s="8"/>
      <c r="AI58" s="3" t="s">
        <v>11</v>
      </c>
      <c r="AJ58" s="141" t="s">
        <v>60</v>
      </c>
      <c r="AK58" s="142"/>
      <c r="AL58" s="8"/>
      <c r="AM58" s="149"/>
      <c r="AN58" s="149"/>
      <c r="AO58" s="8"/>
      <c r="AP58" s="85"/>
      <c r="AQ58" s="149"/>
      <c r="AR58" s="149"/>
      <c r="AS58" s="86"/>
    </row>
    <row r="59" spans="1:45" ht="14.45">
      <c r="A59" s="171"/>
      <c r="B59" s="172"/>
      <c r="C59" s="173"/>
      <c r="D59" s="283"/>
      <c r="E59" s="284"/>
      <c r="F59" s="9"/>
      <c r="G59" s="149" t="s">
        <v>75</v>
      </c>
      <c r="H59" s="149"/>
      <c r="I59" s="149"/>
      <c r="J59" s="8"/>
      <c r="K59" s="149"/>
      <c r="L59" s="149"/>
      <c r="M59" s="8"/>
      <c r="N59" s="155">
        <v>45664.653900462959</v>
      </c>
      <c r="O59" s="149"/>
      <c r="P59" s="149"/>
      <c r="Q59" s="8"/>
      <c r="R59" s="149"/>
      <c r="S59" s="149"/>
      <c r="T59" s="8"/>
      <c r="U59" s="155">
        <v>45695.542372685188</v>
      </c>
      <c r="V59" s="149"/>
      <c r="W59" s="149"/>
      <c r="X59" s="8"/>
      <c r="Y59" s="149"/>
      <c r="Z59" s="149"/>
      <c r="AA59" s="8"/>
      <c r="AB59" s="155">
        <v>45723.653356481482</v>
      </c>
      <c r="AC59" s="149"/>
      <c r="AD59" s="149"/>
      <c r="AE59" s="8"/>
      <c r="AF59" s="149"/>
      <c r="AG59" s="149"/>
      <c r="AH59" s="8"/>
      <c r="AI59" s="155">
        <v>45754.383298611108</v>
      </c>
      <c r="AJ59" s="149"/>
      <c r="AK59" s="149"/>
      <c r="AL59" s="8"/>
      <c r="AM59" s="149"/>
      <c r="AN59" s="149"/>
      <c r="AO59" s="8"/>
      <c r="AP59" s="85"/>
      <c r="AQ59" s="77"/>
      <c r="AR59" s="77"/>
      <c r="AS59" s="86"/>
    </row>
    <row r="60" spans="1:45" ht="14.45">
      <c r="A60" s="195" t="s">
        <v>76</v>
      </c>
      <c r="B60" s="196"/>
      <c r="C60" s="196"/>
      <c r="D60" s="283"/>
      <c r="E60" s="284"/>
      <c r="F60" s="7"/>
      <c r="G60" s="3" t="s">
        <v>11</v>
      </c>
      <c r="H60" s="139" t="s">
        <v>57</v>
      </c>
      <c r="I60" s="139"/>
      <c r="J60" s="6"/>
      <c r="K60" s="139">
        <v>2</v>
      </c>
      <c r="L60" s="139"/>
      <c r="M60" s="6"/>
      <c r="N60" s="3" t="s">
        <v>11</v>
      </c>
      <c r="O60" s="141" t="s">
        <v>57</v>
      </c>
      <c r="P60" s="142"/>
      <c r="Q60" s="6"/>
      <c r="R60" s="139">
        <v>0</v>
      </c>
      <c r="S60" s="139"/>
      <c r="T60" s="6"/>
      <c r="U60" s="3" t="s">
        <v>11</v>
      </c>
      <c r="V60" s="141" t="s">
        <v>57</v>
      </c>
      <c r="W60" s="142"/>
      <c r="X60" s="6"/>
      <c r="Y60" s="139">
        <v>5</v>
      </c>
      <c r="Z60" s="139"/>
      <c r="AA60" s="6"/>
      <c r="AB60" s="3" t="s">
        <v>11</v>
      </c>
      <c r="AC60" s="141" t="s">
        <v>57</v>
      </c>
      <c r="AD60" s="142"/>
      <c r="AE60" s="6"/>
      <c r="AF60" s="139">
        <v>3</v>
      </c>
      <c r="AG60" s="139"/>
      <c r="AH60" s="6"/>
      <c r="AI60" s="3" t="s">
        <v>11</v>
      </c>
      <c r="AJ60" s="141" t="s">
        <v>60</v>
      </c>
      <c r="AK60" s="142"/>
      <c r="AL60" s="6"/>
      <c r="AM60" s="139">
        <v>1</v>
      </c>
      <c r="AN60" s="139"/>
      <c r="AO60" s="6"/>
      <c r="AP60" s="84"/>
      <c r="AQ60" s="141">
        <f>K60+R60+Y60+AF60+AM60</f>
        <v>11</v>
      </c>
      <c r="AR60" s="142"/>
      <c r="AS60" s="48"/>
    </row>
    <row r="61" spans="1:45" ht="14.45">
      <c r="A61" s="195"/>
      <c r="B61" s="196"/>
      <c r="C61" s="196"/>
      <c r="D61" s="285"/>
      <c r="E61" s="286"/>
      <c r="F61" s="7"/>
      <c r="G61" s="148" t="s">
        <v>77</v>
      </c>
      <c r="H61" s="148"/>
      <c r="I61" s="148"/>
      <c r="J61" s="6"/>
      <c r="K61" s="140"/>
      <c r="L61" s="140"/>
      <c r="M61" s="6"/>
      <c r="N61" s="147">
        <v>45664.653877314813</v>
      </c>
      <c r="O61" s="148"/>
      <c r="P61" s="148"/>
      <c r="Q61" s="6"/>
      <c r="R61" s="6"/>
      <c r="S61" s="6"/>
      <c r="T61" s="7"/>
      <c r="U61" s="147">
        <v>45695.542384259257</v>
      </c>
      <c r="V61" s="148"/>
      <c r="W61" s="148"/>
      <c r="X61" s="6"/>
      <c r="Y61" s="6"/>
      <c r="Z61" s="6"/>
      <c r="AA61" s="6"/>
      <c r="AB61" s="147">
        <v>45723.653391203705</v>
      </c>
      <c r="AC61" s="148"/>
      <c r="AD61" s="148"/>
      <c r="AE61" s="6"/>
      <c r="AF61" s="6"/>
      <c r="AG61" s="6"/>
      <c r="AH61" s="7"/>
      <c r="AI61" s="147">
        <v>45754.383321759262</v>
      </c>
      <c r="AJ61" s="148"/>
      <c r="AK61" s="148"/>
      <c r="AL61" s="6"/>
      <c r="AM61" s="6"/>
      <c r="AN61" s="6"/>
      <c r="AO61" s="6"/>
      <c r="AP61" s="84"/>
      <c r="AQ61" s="47"/>
      <c r="AR61" s="47"/>
      <c r="AS61" s="48"/>
    </row>
    <row r="62" spans="1:45" ht="14.45">
      <c r="A62" s="183" t="s">
        <v>78</v>
      </c>
      <c r="B62" s="184"/>
      <c r="C62" s="184"/>
      <c r="D62" s="184"/>
      <c r="E62" s="185"/>
      <c r="F62" s="9"/>
      <c r="G62" s="3" t="s">
        <v>11</v>
      </c>
      <c r="H62" s="139" t="s">
        <v>57</v>
      </c>
      <c r="I62" s="139"/>
      <c r="J62" s="139"/>
      <c r="K62" s="139"/>
      <c r="L62" s="139"/>
      <c r="M62" s="139"/>
      <c r="N62" s="139"/>
      <c r="O62" s="139"/>
      <c r="P62" s="139"/>
      <c r="Q62" s="139"/>
      <c r="R62" s="139"/>
      <c r="S62" s="139"/>
      <c r="T62" s="139"/>
      <c r="U62" s="139"/>
      <c r="V62" s="139"/>
      <c r="W62" s="139"/>
      <c r="X62" s="139"/>
      <c r="Y62" s="139"/>
      <c r="Z62" s="139"/>
      <c r="AA62" s="139"/>
      <c r="AB62" s="139"/>
      <c r="AC62" s="139"/>
      <c r="AD62" s="139"/>
      <c r="AE62" s="139"/>
      <c r="AF62" s="139"/>
      <c r="AG62" s="139"/>
      <c r="AH62" s="139"/>
      <c r="AI62" s="139"/>
      <c r="AJ62" s="139"/>
      <c r="AK62" s="139"/>
      <c r="AL62" s="8"/>
      <c r="AM62" s="8"/>
      <c r="AN62" s="8"/>
      <c r="AO62" s="8"/>
      <c r="AP62" s="85"/>
      <c r="AQ62" s="77"/>
      <c r="AR62" s="77"/>
      <c r="AS62" s="86"/>
    </row>
    <row r="63" spans="1:45" ht="14.45">
      <c r="A63" s="186"/>
      <c r="B63" s="187"/>
      <c r="C63" s="187"/>
      <c r="D63" s="187"/>
      <c r="E63" s="188"/>
      <c r="F63" s="9"/>
      <c r="G63" s="155">
        <v>45723.653483796297</v>
      </c>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8"/>
      <c r="AM63" s="8"/>
      <c r="AN63" s="8"/>
      <c r="AO63" s="9"/>
      <c r="AP63" s="85"/>
      <c r="AQ63" s="77"/>
      <c r="AR63" s="77"/>
      <c r="AS63" s="86"/>
    </row>
    <row r="64" spans="1:45">
      <c r="A64" s="152" t="s">
        <v>79</v>
      </c>
      <c r="B64" s="153"/>
      <c r="C64" s="153"/>
      <c r="D64" s="153"/>
      <c r="E64" s="153"/>
      <c r="F64" s="160"/>
      <c r="G64" s="161"/>
      <c r="H64" s="161"/>
      <c r="I64" s="161"/>
      <c r="J64" s="161"/>
      <c r="K64" s="161"/>
      <c r="L64" s="161"/>
      <c r="M64" s="161"/>
      <c r="N64" s="161"/>
      <c r="O64" s="161"/>
      <c r="P64" s="161"/>
      <c r="Q64" s="161"/>
      <c r="R64" s="161"/>
      <c r="S64" s="161"/>
      <c r="T64" s="161"/>
      <c r="U64" s="161"/>
      <c r="V64" s="161"/>
      <c r="W64" s="161"/>
      <c r="X64" s="161"/>
      <c r="Y64" s="161"/>
      <c r="Z64" s="161"/>
      <c r="AA64" s="161"/>
      <c r="AB64" s="161"/>
      <c r="AC64" s="161"/>
      <c r="AD64" s="161"/>
      <c r="AE64" s="161"/>
      <c r="AF64" s="161"/>
      <c r="AG64" s="161"/>
      <c r="AH64" s="161"/>
      <c r="AI64" s="161"/>
      <c r="AJ64" s="161"/>
      <c r="AK64" s="161"/>
      <c r="AL64" s="161"/>
      <c r="AM64" s="161"/>
      <c r="AN64" s="161"/>
      <c r="AO64" s="161"/>
      <c r="AP64" s="89"/>
      <c r="AQ64" s="78"/>
      <c r="AR64" s="78"/>
      <c r="AS64" s="90"/>
    </row>
    <row r="65" spans="1:45" ht="14.45">
      <c r="A65" s="168" t="s">
        <v>80</v>
      </c>
      <c r="B65" s="169"/>
      <c r="C65" s="169"/>
      <c r="D65" s="169"/>
      <c r="E65" s="170"/>
      <c r="F65" s="9"/>
      <c r="G65" s="3" t="s">
        <v>11</v>
      </c>
      <c r="H65" s="141" t="s">
        <v>81</v>
      </c>
      <c r="I65" s="142"/>
      <c r="J65" s="8"/>
      <c r="K65" s="8"/>
      <c r="L65" s="8"/>
      <c r="M65" s="8"/>
      <c r="N65" s="3" t="s">
        <v>11</v>
      </c>
      <c r="O65" s="141" t="s">
        <v>81</v>
      </c>
      <c r="P65" s="142"/>
      <c r="Q65" s="8"/>
      <c r="R65" s="8"/>
      <c r="S65" s="8"/>
      <c r="T65" s="8"/>
      <c r="U65" s="3" t="s">
        <v>11</v>
      </c>
      <c r="V65" s="141" t="s">
        <v>81</v>
      </c>
      <c r="W65" s="142"/>
      <c r="X65" s="8"/>
      <c r="Y65" s="8"/>
      <c r="Z65" s="8"/>
      <c r="AA65" s="8"/>
      <c r="AB65" s="3" t="s">
        <v>11</v>
      </c>
      <c r="AC65" s="141" t="s">
        <v>81</v>
      </c>
      <c r="AD65" s="142"/>
      <c r="AE65" s="8"/>
      <c r="AF65" s="8"/>
      <c r="AG65" s="8"/>
      <c r="AH65" s="8"/>
      <c r="AI65" s="3" t="s">
        <v>11</v>
      </c>
      <c r="AJ65" s="141" t="s">
        <v>81</v>
      </c>
      <c r="AK65" s="142"/>
      <c r="AL65" s="8"/>
      <c r="AM65" s="8"/>
      <c r="AN65" s="8"/>
      <c r="AO65" s="8"/>
      <c r="AP65" s="85"/>
      <c r="AQ65" s="77"/>
      <c r="AR65" s="77"/>
      <c r="AS65" s="86"/>
    </row>
    <row r="66" spans="1:45" ht="14.45">
      <c r="A66" s="189"/>
      <c r="B66" s="190"/>
      <c r="C66" s="190"/>
      <c r="D66" s="190"/>
      <c r="E66" s="191"/>
      <c r="F66" s="9"/>
      <c r="G66" s="149" t="s">
        <v>82</v>
      </c>
      <c r="H66" s="149"/>
      <c r="I66" s="149"/>
      <c r="J66" s="8"/>
      <c r="K66" s="8"/>
      <c r="L66" s="8"/>
      <c r="M66" s="8"/>
      <c r="N66" s="155">
        <v>45723.696064814816</v>
      </c>
      <c r="O66" s="149"/>
      <c r="P66" s="149"/>
      <c r="Q66" s="8"/>
      <c r="R66" s="8"/>
      <c r="S66" s="8"/>
      <c r="T66" s="8"/>
      <c r="U66" s="155">
        <v>45723.696087962962</v>
      </c>
      <c r="V66" s="149"/>
      <c r="W66" s="149"/>
      <c r="X66" s="8"/>
      <c r="Y66" s="8"/>
      <c r="Z66" s="8"/>
      <c r="AA66" s="8"/>
      <c r="AB66" s="155">
        <v>45723.696134259262</v>
      </c>
      <c r="AC66" s="149"/>
      <c r="AD66" s="149"/>
      <c r="AE66" s="8"/>
      <c r="AF66" s="8"/>
      <c r="AG66" s="8"/>
      <c r="AH66" s="8"/>
      <c r="AI66" s="155">
        <v>45754.650023148148</v>
      </c>
      <c r="AJ66" s="149"/>
      <c r="AK66" s="149"/>
      <c r="AL66" s="8"/>
      <c r="AM66" s="8"/>
      <c r="AN66" s="8"/>
      <c r="AO66" s="8"/>
      <c r="AP66" s="85"/>
      <c r="AQ66" s="77"/>
      <c r="AR66" s="77"/>
      <c r="AS66" s="86"/>
    </row>
    <row r="67" spans="1:45" ht="15" customHeight="1">
      <c r="A67" s="192" t="s">
        <v>83</v>
      </c>
      <c r="B67" s="193"/>
      <c r="C67" s="193"/>
      <c r="D67" s="193"/>
      <c r="E67" s="194"/>
      <c r="F67" s="7"/>
      <c r="G67" s="3" t="s">
        <v>11</v>
      </c>
      <c r="H67" s="139" t="s">
        <v>81</v>
      </c>
      <c r="I67" s="139"/>
      <c r="J67" s="6"/>
      <c r="K67" s="6"/>
      <c r="L67" s="6"/>
      <c r="M67" s="6"/>
      <c r="N67" s="3" t="s">
        <v>11</v>
      </c>
      <c r="O67" s="141" t="s">
        <v>81</v>
      </c>
      <c r="P67" s="142"/>
      <c r="Q67" s="6"/>
      <c r="R67" s="6"/>
      <c r="S67" s="6"/>
      <c r="T67" s="6"/>
      <c r="U67" s="3" t="s">
        <v>11</v>
      </c>
      <c r="V67" s="141" t="s">
        <v>81</v>
      </c>
      <c r="W67" s="142"/>
      <c r="X67" s="6"/>
      <c r="Y67" s="6"/>
      <c r="Z67" s="6"/>
      <c r="AA67" s="6"/>
      <c r="AB67" s="3" t="s">
        <v>11</v>
      </c>
      <c r="AC67" s="141" t="s">
        <v>81</v>
      </c>
      <c r="AD67" s="142"/>
      <c r="AE67" s="6"/>
      <c r="AF67" s="6"/>
      <c r="AG67" s="6"/>
      <c r="AH67" s="6"/>
      <c r="AI67" s="3" t="s">
        <v>11</v>
      </c>
      <c r="AJ67" s="141" t="s">
        <v>81</v>
      </c>
      <c r="AK67" s="142"/>
      <c r="AL67" s="6"/>
      <c r="AM67" s="6"/>
      <c r="AN67" s="6"/>
      <c r="AO67" s="6"/>
      <c r="AP67" s="84"/>
      <c r="AQ67" s="47"/>
      <c r="AR67" s="47"/>
      <c r="AS67" s="48"/>
    </row>
    <row r="68" spans="1:45" ht="14.45">
      <c r="A68" s="192"/>
      <c r="B68" s="193"/>
      <c r="C68" s="193"/>
      <c r="D68" s="193"/>
      <c r="E68" s="194"/>
      <c r="F68" s="7"/>
      <c r="G68" s="145" t="s">
        <v>84</v>
      </c>
      <c r="H68" s="145"/>
      <c r="I68" s="145"/>
      <c r="J68" s="6"/>
      <c r="K68" s="6"/>
      <c r="L68" s="6"/>
      <c r="M68" s="6"/>
      <c r="N68" s="144">
        <v>45723.696076388886</v>
      </c>
      <c r="O68" s="145"/>
      <c r="P68" s="145"/>
      <c r="Q68" s="6"/>
      <c r="R68" s="6"/>
      <c r="S68" s="6"/>
      <c r="T68" s="6"/>
      <c r="U68" s="144">
        <v>45723.696111111109</v>
      </c>
      <c r="V68" s="145"/>
      <c r="W68" s="145"/>
      <c r="X68" s="6"/>
      <c r="Y68" s="6"/>
      <c r="Z68" s="6"/>
      <c r="AA68" s="6"/>
      <c r="AB68" s="144">
        <v>45723.696145833332</v>
      </c>
      <c r="AC68" s="145"/>
      <c r="AD68" s="145"/>
      <c r="AE68" s="6"/>
      <c r="AF68" s="6"/>
      <c r="AG68" s="6"/>
      <c r="AH68" s="6"/>
      <c r="AI68" s="144">
        <v>45754.650057870371</v>
      </c>
      <c r="AJ68" s="145"/>
      <c r="AK68" s="145"/>
      <c r="AL68" s="6"/>
      <c r="AM68" s="6"/>
      <c r="AN68" s="6"/>
      <c r="AO68" s="6"/>
      <c r="AP68" s="84"/>
      <c r="AQ68" s="47"/>
      <c r="AR68" s="47"/>
      <c r="AS68" s="48"/>
    </row>
    <row r="69" spans="1:45">
      <c r="A69" s="216"/>
      <c r="B69" s="217"/>
      <c r="C69" s="217"/>
      <c r="D69" s="217"/>
      <c r="E69" s="217"/>
      <c r="F69" s="217"/>
      <c r="G69" s="217"/>
      <c r="H69" s="217"/>
      <c r="I69" s="217"/>
      <c r="J69" s="217"/>
      <c r="K69" s="217"/>
      <c r="L69" s="217"/>
      <c r="M69" s="217"/>
      <c r="N69" s="217"/>
      <c r="O69" s="217"/>
      <c r="P69" s="217"/>
      <c r="Q69" s="217"/>
      <c r="R69" s="217"/>
      <c r="S69" s="217"/>
      <c r="T69" s="217"/>
      <c r="U69" s="217"/>
      <c r="V69" s="217"/>
      <c r="W69" s="217"/>
      <c r="X69" s="217"/>
      <c r="Y69" s="217"/>
      <c r="Z69" s="217"/>
      <c r="AA69" s="217"/>
      <c r="AB69" s="217"/>
      <c r="AC69" s="217"/>
      <c r="AD69" s="217"/>
      <c r="AE69" s="217"/>
      <c r="AF69" s="217"/>
      <c r="AG69" s="217"/>
      <c r="AH69" s="217"/>
      <c r="AI69" s="217"/>
      <c r="AJ69" s="217"/>
      <c r="AK69" s="217"/>
      <c r="AL69" s="217"/>
      <c r="AM69" s="217"/>
      <c r="AN69" s="217"/>
      <c r="AO69" s="217"/>
      <c r="AP69" s="87"/>
      <c r="AQ69" s="79"/>
      <c r="AR69" s="79"/>
      <c r="AS69" s="88"/>
    </row>
    <row r="70" spans="1:45">
      <c r="A70" s="197" t="s">
        <v>85</v>
      </c>
      <c r="B70" s="198"/>
      <c r="C70" s="198"/>
      <c r="D70" s="198"/>
      <c r="E70" s="198"/>
      <c r="F70" s="160"/>
      <c r="G70" s="161"/>
      <c r="H70" s="161"/>
      <c r="I70" s="161"/>
      <c r="J70" s="161"/>
      <c r="K70" s="161"/>
      <c r="L70" s="161"/>
      <c r="M70" s="161"/>
      <c r="N70" s="161"/>
      <c r="O70" s="161"/>
      <c r="P70" s="161"/>
      <c r="Q70" s="161"/>
      <c r="R70" s="161"/>
      <c r="S70" s="161"/>
      <c r="T70" s="161"/>
      <c r="U70" s="161"/>
      <c r="V70" s="161"/>
      <c r="W70" s="161"/>
      <c r="X70" s="161"/>
      <c r="Y70" s="161"/>
      <c r="Z70" s="161"/>
      <c r="AA70" s="161"/>
      <c r="AB70" s="161"/>
      <c r="AC70" s="161"/>
      <c r="AD70" s="161"/>
      <c r="AE70" s="161"/>
      <c r="AF70" s="161"/>
      <c r="AG70" s="161"/>
      <c r="AH70" s="161"/>
      <c r="AI70" s="161"/>
      <c r="AJ70" s="161"/>
      <c r="AK70" s="161"/>
      <c r="AL70" s="161"/>
      <c r="AM70" s="161"/>
      <c r="AN70" s="161"/>
      <c r="AO70" s="161"/>
      <c r="AP70" s="89"/>
      <c r="AQ70" s="78"/>
      <c r="AR70" s="78"/>
      <c r="AS70" s="90"/>
    </row>
    <row r="71" spans="1:45">
      <c r="A71" s="199" t="s">
        <v>86</v>
      </c>
      <c r="B71" s="200"/>
      <c r="C71" s="200"/>
      <c r="D71" s="200"/>
      <c r="E71" s="200"/>
      <c r="F71" s="182"/>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84"/>
      <c r="AQ71" s="47"/>
      <c r="AR71" s="47"/>
      <c r="AS71" s="48"/>
    </row>
    <row r="72" spans="1:45" ht="14.45">
      <c r="A72" s="201" t="s">
        <v>87</v>
      </c>
      <c r="B72" s="202"/>
      <c r="C72" s="202"/>
      <c r="D72" s="202"/>
      <c r="E72" s="203"/>
      <c r="F72" s="7"/>
      <c r="G72" s="3" t="s">
        <v>17</v>
      </c>
      <c r="H72" s="141" t="s">
        <v>88</v>
      </c>
      <c r="I72" s="142"/>
      <c r="J72" s="6"/>
      <c r="K72" s="139">
        <v>0</v>
      </c>
      <c r="L72" s="139"/>
      <c r="M72" s="6"/>
      <c r="N72" s="3" t="s">
        <v>17</v>
      </c>
      <c r="O72" s="141" t="s">
        <v>89</v>
      </c>
      <c r="P72" s="142"/>
      <c r="Q72" s="6"/>
      <c r="R72" s="139">
        <v>0</v>
      </c>
      <c r="S72" s="139"/>
      <c r="T72" s="6"/>
      <c r="U72" s="3" t="s">
        <v>17</v>
      </c>
      <c r="V72" s="141" t="s">
        <v>90</v>
      </c>
      <c r="W72" s="142"/>
      <c r="X72" s="6"/>
      <c r="Y72" s="139">
        <v>0</v>
      </c>
      <c r="Z72" s="139"/>
      <c r="AA72" s="6"/>
      <c r="AB72" s="3" t="s">
        <v>17</v>
      </c>
      <c r="AC72" s="141" t="s">
        <v>91</v>
      </c>
      <c r="AD72" s="142"/>
      <c r="AE72" s="6"/>
      <c r="AF72" s="139">
        <v>0</v>
      </c>
      <c r="AG72" s="139"/>
      <c r="AH72" s="6"/>
      <c r="AI72" s="3" t="s">
        <v>17</v>
      </c>
      <c r="AJ72" s="141" t="s">
        <v>92</v>
      </c>
      <c r="AK72" s="142"/>
      <c r="AL72" s="6"/>
      <c r="AM72" s="139">
        <v>0</v>
      </c>
      <c r="AN72" s="139"/>
      <c r="AO72" s="6"/>
      <c r="AP72" s="84"/>
      <c r="AQ72" s="141">
        <f>K72+R72+Y72+AF72+AM72</f>
        <v>0</v>
      </c>
      <c r="AR72" s="142"/>
      <c r="AS72" s="48"/>
    </row>
    <row r="73" spans="1:45" ht="14.45">
      <c r="A73" s="201"/>
      <c r="B73" s="202"/>
      <c r="C73" s="202"/>
      <c r="D73" s="202"/>
      <c r="E73" s="203"/>
      <c r="F73" s="7"/>
      <c r="G73" s="148" t="s">
        <v>93</v>
      </c>
      <c r="H73" s="148"/>
      <c r="I73" s="148"/>
      <c r="J73" s="6"/>
      <c r="K73" s="6"/>
      <c r="L73" s="6"/>
      <c r="M73" s="6"/>
      <c r="N73" s="148" t="s">
        <v>93</v>
      </c>
      <c r="O73" s="148"/>
      <c r="P73" s="148"/>
      <c r="Q73" s="6"/>
      <c r="R73" s="6"/>
      <c r="S73" s="6"/>
      <c r="T73" s="6"/>
      <c r="U73" s="148" t="s">
        <v>93</v>
      </c>
      <c r="V73" s="148"/>
      <c r="W73" s="148"/>
      <c r="X73" s="6"/>
      <c r="Y73" s="6"/>
      <c r="Z73" s="6"/>
      <c r="AA73" s="6"/>
      <c r="AB73" s="148" t="s">
        <v>93</v>
      </c>
      <c r="AC73" s="148"/>
      <c r="AD73" s="148"/>
      <c r="AE73" s="6"/>
      <c r="AF73" s="6"/>
      <c r="AG73" s="6"/>
      <c r="AH73" s="6"/>
      <c r="AI73" s="148" t="s">
        <v>93</v>
      </c>
      <c r="AJ73" s="148"/>
      <c r="AK73" s="148"/>
      <c r="AL73" s="6"/>
      <c r="AM73" s="6"/>
      <c r="AN73" s="6"/>
      <c r="AO73" s="6"/>
      <c r="AP73" s="84"/>
      <c r="AQ73" s="47"/>
      <c r="AR73" s="47"/>
      <c r="AS73" s="48"/>
    </row>
    <row r="74" spans="1:45" ht="14.45">
      <c r="A74" s="201" t="s">
        <v>94</v>
      </c>
      <c r="B74" s="202"/>
      <c r="C74" s="202"/>
      <c r="D74" s="202"/>
      <c r="E74" s="203"/>
      <c r="F74" s="7"/>
      <c r="G74" s="3" t="s">
        <v>17</v>
      </c>
      <c r="H74" s="141" t="s">
        <v>95</v>
      </c>
      <c r="I74" s="142"/>
      <c r="J74" s="6"/>
      <c r="K74" s="6"/>
      <c r="L74" s="6"/>
      <c r="M74" s="6"/>
      <c r="N74" s="3" t="s">
        <v>17</v>
      </c>
      <c r="O74" s="141" t="s">
        <v>96</v>
      </c>
      <c r="P74" s="142"/>
      <c r="Q74" s="6"/>
      <c r="R74" s="6"/>
      <c r="S74" s="6"/>
      <c r="T74" s="6"/>
      <c r="U74" s="3" t="s">
        <v>17</v>
      </c>
      <c r="V74" s="141" t="s">
        <v>97</v>
      </c>
      <c r="W74" s="142"/>
      <c r="X74" s="6"/>
      <c r="Y74" s="6"/>
      <c r="Z74" s="6"/>
      <c r="AA74" s="6"/>
      <c r="AB74" s="3" t="s">
        <v>17</v>
      </c>
      <c r="AC74" s="141" t="s">
        <v>98</v>
      </c>
      <c r="AD74" s="142"/>
      <c r="AE74" s="6"/>
      <c r="AF74" s="6"/>
      <c r="AG74" s="6"/>
      <c r="AH74" s="6"/>
      <c r="AI74" s="3" t="s">
        <v>17</v>
      </c>
      <c r="AJ74" s="141" t="s">
        <v>99</v>
      </c>
      <c r="AK74" s="142"/>
      <c r="AL74" s="6"/>
      <c r="AM74" s="6"/>
      <c r="AN74" s="6"/>
      <c r="AO74" s="6"/>
      <c r="AP74" s="84"/>
      <c r="AQ74" s="47"/>
      <c r="AR74" s="47"/>
      <c r="AS74" s="48"/>
    </row>
    <row r="75" spans="1:45" ht="14.45">
      <c r="A75" s="201"/>
      <c r="B75" s="202"/>
      <c r="C75" s="202"/>
      <c r="D75" s="202"/>
      <c r="E75" s="203"/>
      <c r="F75" s="7"/>
      <c r="G75" s="145" t="s">
        <v>93</v>
      </c>
      <c r="H75" s="145"/>
      <c r="I75" s="145"/>
      <c r="J75" s="6"/>
      <c r="K75" s="6"/>
      <c r="L75" s="6"/>
      <c r="M75" s="6"/>
      <c r="N75" s="145" t="s">
        <v>93</v>
      </c>
      <c r="O75" s="145"/>
      <c r="P75" s="145"/>
      <c r="Q75" s="6"/>
      <c r="R75" s="6"/>
      <c r="S75" s="6"/>
      <c r="T75" s="6"/>
      <c r="U75" s="145" t="s">
        <v>93</v>
      </c>
      <c r="V75" s="145"/>
      <c r="W75" s="145"/>
      <c r="X75" s="6"/>
      <c r="Y75" s="6"/>
      <c r="Z75" s="6"/>
      <c r="AA75" s="6"/>
      <c r="AB75" s="145" t="s">
        <v>93</v>
      </c>
      <c r="AC75" s="145"/>
      <c r="AD75" s="145"/>
      <c r="AE75" s="6"/>
      <c r="AF75" s="6"/>
      <c r="AG75" s="6"/>
      <c r="AH75" s="6"/>
      <c r="AI75" s="145" t="s">
        <v>93</v>
      </c>
      <c r="AJ75" s="145"/>
      <c r="AK75" s="145"/>
      <c r="AL75" s="6"/>
      <c r="AM75" s="6"/>
      <c r="AN75" s="6"/>
      <c r="AO75" s="6"/>
      <c r="AP75" s="84"/>
      <c r="AQ75" s="47"/>
      <c r="AR75" s="47"/>
      <c r="AS75" s="48"/>
    </row>
    <row r="76" spans="1:45">
      <c r="A76" s="218" t="s">
        <v>100</v>
      </c>
      <c r="B76" s="219"/>
      <c r="C76" s="219"/>
      <c r="D76" s="219"/>
      <c r="E76" s="220"/>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85"/>
      <c r="AQ76" s="77"/>
      <c r="AR76" s="77"/>
      <c r="AS76" s="86"/>
    </row>
    <row r="77" spans="1:45" ht="14.45">
      <c r="A77" s="179" t="s">
        <v>87</v>
      </c>
      <c r="B77" s="180"/>
      <c r="C77" s="180"/>
      <c r="D77" s="180"/>
      <c r="E77" s="181"/>
      <c r="F77" s="9"/>
      <c r="G77" s="3" t="s">
        <v>17</v>
      </c>
      <c r="H77" s="141" t="s">
        <v>101</v>
      </c>
      <c r="I77" s="142"/>
      <c r="J77" s="8"/>
      <c r="K77" s="139">
        <v>0</v>
      </c>
      <c r="L77" s="139"/>
      <c r="M77" s="8"/>
      <c r="N77" s="3" t="s">
        <v>17</v>
      </c>
      <c r="O77" s="141" t="s">
        <v>102</v>
      </c>
      <c r="P77" s="142"/>
      <c r="Q77" s="8"/>
      <c r="R77" s="139">
        <v>0</v>
      </c>
      <c r="S77" s="139"/>
      <c r="T77" s="8"/>
      <c r="U77" s="3" t="s">
        <v>17</v>
      </c>
      <c r="V77" s="141" t="s">
        <v>103</v>
      </c>
      <c r="W77" s="142"/>
      <c r="X77" s="8"/>
      <c r="Y77" s="139">
        <v>0</v>
      </c>
      <c r="Z77" s="139"/>
      <c r="AA77" s="8"/>
      <c r="AB77" s="3" t="s">
        <v>17</v>
      </c>
      <c r="AC77" s="141" t="s">
        <v>104</v>
      </c>
      <c r="AD77" s="142"/>
      <c r="AE77" s="8"/>
      <c r="AF77" s="139">
        <v>0</v>
      </c>
      <c r="AG77" s="139"/>
      <c r="AH77" s="8"/>
      <c r="AI77" s="3" t="s">
        <v>17</v>
      </c>
      <c r="AJ77" s="141" t="s">
        <v>105</v>
      </c>
      <c r="AK77" s="142"/>
      <c r="AL77" s="8"/>
      <c r="AM77" s="139">
        <v>0</v>
      </c>
      <c r="AN77" s="139"/>
      <c r="AO77" s="8"/>
      <c r="AP77" s="85"/>
      <c r="AQ77" s="141">
        <f>K77+R77+Y77+AF77+AM77</f>
        <v>0</v>
      </c>
      <c r="AR77" s="142"/>
      <c r="AS77" s="86"/>
    </row>
    <row r="78" spans="1:45" ht="14.45">
      <c r="A78" s="179"/>
      <c r="B78" s="180"/>
      <c r="C78" s="180"/>
      <c r="D78" s="180"/>
      <c r="E78" s="181"/>
      <c r="F78" s="9"/>
      <c r="G78" s="149" t="s">
        <v>93</v>
      </c>
      <c r="H78" s="149"/>
      <c r="I78" s="149"/>
      <c r="J78" s="8"/>
      <c r="K78" s="8"/>
      <c r="L78" s="8"/>
      <c r="M78" s="8"/>
      <c r="N78" s="149" t="s">
        <v>93</v>
      </c>
      <c r="O78" s="149"/>
      <c r="P78" s="149"/>
      <c r="Q78" s="8"/>
      <c r="R78" s="8"/>
      <c r="S78" s="8"/>
      <c r="T78" s="8"/>
      <c r="U78" s="149" t="s">
        <v>93</v>
      </c>
      <c r="V78" s="149"/>
      <c r="W78" s="149"/>
      <c r="X78" s="8"/>
      <c r="Y78" s="8"/>
      <c r="Z78" s="8"/>
      <c r="AA78" s="8"/>
      <c r="AB78" s="149" t="s">
        <v>93</v>
      </c>
      <c r="AC78" s="149"/>
      <c r="AD78" s="149"/>
      <c r="AE78" s="8"/>
      <c r="AF78" s="8"/>
      <c r="AG78" s="8"/>
      <c r="AH78" s="8"/>
      <c r="AI78" s="149" t="s">
        <v>93</v>
      </c>
      <c r="AJ78" s="149"/>
      <c r="AK78" s="149"/>
      <c r="AL78" s="8"/>
      <c r="AM78" s="8"/>
      <c r="AN78" s="8"/>
      <c r="AO78" s="8"/>
      <c r="AP78" s="85"/>
      <c r="AQ78" s="77"/>
      <c r="AR78" s="77"/>
      <c r="AS78" s="86"/>
    </row>
    <row r="79" spans="1:45" ht="14.45">
      <c r="A79" s="179" t="s">
        <v>94</v>
      </c>
      <c r="B79" s="180"/>
      <c r="C79" s="180"/>
      <c r="D79" s="180"/>
      <c r="E79" s="181"/>
      <c r="F79" s="9"/>
      <c r="G79" s="3" t="s">
        <v>17</v>
      </c>
      <c r="H79" s="141" t="s">
        <v>106</v>
      </c>
      <c r="I79" s="142"/>
      <c r="J79" s="8"/>
      <c r="K79" s="8"/>
      <c r="L79" s="8"/>
      <c r="M79" s="8"/>
      <c r="N79" s="3" t="s">
        <v>17</v>
      </c>
      <c r="O79" s="141" t="s">
        <v>107</v>
      </c>
      <c r="P79" s="142"/>
      <c r="Q79" s="8"/>
      <c r="R79" s="8"/>
      <c r="S79" s="8"/>
      <c r="T79" s="8"/>
      <c r="U79" s="3" t="s">
        <v>17</v>
      </c>
      <c r="V79" s="141" t="s">
        <v>108</v>
      </c>
      <c r="W79" s="142"/>
      <c r="X79" s="8"/>
      <c r="Y79" s="8"/>
      <c r="Z79" s="8"/>
      <c r="AA79" s="8"/>
      <c r="AB79" s="3" t="s">
        <v>17</v>
      </c>
      <c r="AC79" s="141" t="s">
        <v>109</v>
      </c>
      <c r="AD79" s="142"/>
      <c r="AE79" s="8"/>
      <c r="AF79" s="8"/>
      <c r="AG79" s="8"/>
      <c r="AH79" s="8"/>
      <c r="AI79" s="3" t="s">
        <v>17</v>
      </c>
      <c r="AJ79" s="141" t="s">
        <v>110</v>
      </c>
      <c r="AK79" s="142"/>
      <c r="AL79" s="8"/>
      <c r="AM79" s="8"/>
      <c r="AN79" s="8"/>
      <c r="AO79" s="8"/>
      <c r="AP79" s="85"/>
      <c r="AQ79" s="77"/>
      <c r="AR79" s="77"/>
      <c r="AS79" s="86"/>
    </row>
    <row r="80" spans="1:45" ht="14.45">
      <c r="A80" s="179"/>
      <c r="B80" s="180"/>
      <c r="C80" s="180"/>
      <c r="D80" s="180"/>
      <c r="E80" s="181"/>
      <c r="F80" s="9"/>
      <c r="G80" s="149" t="s">
        <v>93</v>
      </c>
      <c r="H80" s="149"/>
      <c r="I80" s="149"/>
      <c r="J80" s="8"/>
      <c r="K80" s="8"/>
      <c r="L80" s="8"/>
      <c r="M80" s="8"/>
      <c r="N80" s="149" t="s">
        <v>93</v>
      </c>
      <c r="O80" s="149"/>
      <c r="P80" s="149"/>
      <c r="Q80" s="8"/>
      <c r="R80" s="8"/>
      <c r="S80" s="8"/>
      <c r="T80" s="8"/>
      <c r="U80" s="149" t="s">
        <v>93</v>
      </c>
      <c r="V80" s="149"/>
      <c r="W80" s="149"/>
      <c r="X80" s="8"/>
      <c r="Y80" s="8"/>
      <c r="Z80" s="8"/>
      <c r="AA80" s="8"/>
      <c r="AB80" s="149" t="s">
        <v>93</v>
      </c>
      <c r="AC80" s="149"/>
      <c r="AD80" s="149"/>
      <c r="AE80" s="8"/>
      <c r="AF80" s="8"/>
      <c r="AG80" s="8"/>
      <c r="AH80" s="8"/>
      <c r="AI80" s="149" t="s">
        <v>93</v>
      </c>
      <c r="AJ80" s="149"/>
      <c r="AK80" s="149"/>
      <c r="AL80" s="8"/>
      <c r="AM80" s="8"/>
      <c r="AN80" s="8"/>
      <c r="AO80" s="8"/>
      <c r="AP80" s="85"/>
      <c r="AQ80" s="77"/>
      <c r="AR80" s="77"/>
      <c r="AS80" s="86"/>
    </row>
    <row r="81" spans="1:45">
      <c r="A81" s="174" t="s">
        <v>111</v>
      </c>
      <c r="B81" s="175"/>
      <c r="C81" s="175"/>
      <c r="D81" s="175"/>
      <c r="E81" s="175"/>
      <c r="F81" s="182"/>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84"/>
      <c r="AQ81" s="47"/>
      <c r="AR81" s="47"/>
      <c r="AS81" s="48"/>
    </row>
    <row r="82" spans="1:45" ht="14.45">
      <c r="A82" s="176" t="s">
        <v>87</v>
      </c>
      <c r="B82" s="177"/>
      <c r="C82" s="177"/>
      <c r="D82" s="177"/>
      <c r="E82" s="178"/>
      <c r="F82" s="7"/>
      <c r="G82" s="3" t="s">
        <v>17</v>
      </c>
      <c r="H82" s="141" t="s">
        <v>112</v>
      </c>
      <c r="I82" s="142"/>
      <c r="J82" s="6"/>
      <c r="K82" s="139">
        <v>0</v>
      </c>
      <c r="L82" s="139"/>
      <c r="M82" s="6"/>
      <c r="N82" s="3" t="s">
        <v>17</v>
      </c>
      <c r="O82" s="141" t="s">
        <v>113</v>
      </c>
      <c r="P82" s="142"/>
      <c r="Q82" s="6"/>
      <c r="R82" s="139">
        <v>0</v>
      </c>
      <c r="S82" s="139"/>
      <c r="T82" s="6"/>
      <c r="U82" s="3" t="s">
        <v>17</v>
      </c>
      <c r="V82" s="141" t="s">
        <v>114</v>
      </c>
      <c r="W82" s="142"/>
      <c r="X82" s="6"/>
      <c r="Y82" s="139">
        <v>0</v>
      </c>
      <c r="Z82" s="139"/>
      <c r="AA82" s="6"/>
      <c r="AB82" s="3" t="s">
        <v>17</v>
      </c>
      <c r="AC82" s="141" t="s">
        <v>115</v>
      </c>
      <c r="AD82" s="142"/>
      <c r="AE82" s="6"/>
      <c r="AF82" s="139">
        <v>0</v>
      </c>
      <c r="AG82" s="139"/>
      <c r="AH82" s="6"/>
      <c r="AI82" s="3" t="s">
        <v>17</v>
      </c>
      <c r="AJ82" s="141" t="s">
        <v>116</v>
      </c>
      <c r="AK82" s="142"/>
      <c r="AL82" s="6"/>
      <c r="AM82" s="139">
        <v>0</v>
      </c>
      <c r="AN82" s="139"/>
      <c r="AO82" s="6"/>
      <c r="AP82" s="84"/>
      <c r="AQ82" s="141">
        <f>K82+R82+Y82+AF82+AM82</f>
        <v>0</v>
      </c>
      <c r="AR82" s="142"/>
      <c r="AS82" s="48"/>
    </row>
    <row r="83" spans="1:45" ht="14.45">
      <c r="A83" s="176"/>
      <c r="B83" s="177"/>
      <c r="C83" s="177"/>
      <c r="D83" s="177"/>
      <c r="E83" s="178"/>
      <c r="F83" s="7"/>
      <c r="G83" s="148" t="s">
        <v>93</v>
      </c>
      <c r="H83" s="148"/>
      <c r="I83" s="148"/>
      <c r="J83" s="6"/>
      <c r="K83" s="6"/>
      <c r="L83" s="6"/>
      <c r="M83" s="6"/>
      <c r="N83" s="148" t="s">
        <v>93</v>
      </c>
      <c r="O83" s="148"/>
      <c r="P83" s="148"/>
      <c r="Q83" s="6"/>
      <c r="R83" s="6"/>
      <c r="S83" s="6"/>
      <c r="T83" s="6"/>
      <c r="U83" s="148" t="s">
        <v>93</v>
      </c>
      <c r="V83" s="148"/>
      <c r="W83" s="148"/>
      <c r="X83" s="6"/>
      <c r="Y83" s="6"/>
      <c r="Z83" s="6"/>
      <c r="AA83" s="6"/>
      <c r="AB83" s="148" t="s">
        <v>93</v>
      </c>
      <c r="AC83" s="148"/>
      <c r="AD83" s="148"/>
      <c r="AE83" s="6"/>
      <c r="AF83" s="6"/>
      <c r="AG83" s="6"/>
      <c r="AH83" s="6"/>
      <c r="AI83" s="148" t="s">
        <v>93</v>
      </c>
      <c r="AJ83" s="148"/>
      <c r="AK83" s="148"/>
      <c r="AL83" s="6"/>
      <c r="AM83" s="6"/>
      <c r="AN83" s="6"/>
      <c r="AO83" s="6"/>
      <c r="AP83" s="84"/>
      <c r="AQ83" s="47"/>
      <c r="AR83" s="47"/>
      <c r="AS83" s="48"/>
    </row>
    <row r="84" spans="1:45" ht="14.45">
      <c r="A84" s="176" t="s">
        <v>94</v>
      </c>
      <c r="B84" s="177"/>
      <c r="C84" s="177"/>
      <c r="D84" s="177"/>
      <c r="E84" s="178"/>
      <c r="F84" s="7"/>
      <c r="G84" s="3" t="s">
        <v>17</v>
      </c>
      <c r="H84" s="141" t="s">
        <v>117</v>
      </c>
      <c r="I84" s="142"/>
      <c r="J84" s="6"/>
      <c r="K84" s="6"/>
      <c r="L84" s="6"/>
      <c r="M84" s="6"/>
      <c r="N84" s="3" t="s">
        <v>17</v>
      </c>
      <c r="O84" s="141" t="s">
        <v>118</v>
      </c>
      <c r="P84" s="142"/>
      <c r="Q84" s="6"/>
      <c r="R84" s="6"/>
      <c r="S84" s="6"/>
      <c r="T84" s="6"/>
      <c r="U84" s="3" t="s">
        <v>17</v>
      </c>
      <c r="V84" s="141" t="s">
        <v>119</v>
      </c>
      <c r="W84" s="142"/>
      <c r="X84" s="6"/>
      <c r="Y84" s="6"/>
      <c r="Z84" s="6"/>
      <c r="AA84" s="6"/>
      <c r="AB84" s="3" t="s">
        <v>17</v>
      </c>
      <c r="AC84" s="141" t="s">
        <v>120</v>
      </c>
      <c r="AD84" s="142"/>
      <c r="AE84" s="6"/>
      <c r="AF84" s="6"/>
      <c r="AG84" s="6"/>
      <c r="AH84" s="6"/>
      <c r="AI84" s="3" t="s">
        <v>17</v>
      </c>
      <c r="AJ84" s="141" t="s">
        <v>121</v>
      </c>
      <c r="AK84" s="142"/>
      <c r="AL84" s="6"/>
      <c r="AM84" s="6"/>
      <c r="AN84" s="6"/>
      <c r="AO84" s="6"/>
      <c r="AP84" s="84"/>
      <c r="AQ84" s="47"/>
      <c r="AR84" s="47"/>
      <c r="AS84" s="48"/>
    </row>
    <row r="85" spans="1:45" ht="15" thickBot="1">
      <c r="A85" s="213"/>
      <c r="B85" s="214"/>
      <c r="C85" s="214"/>
      <c r="D85" s="214"/>
      <c r="E85" s="215"/>
      <c r="F85" s="51"/>
      <c r="G85" s="204" t="s">
        <v>93</v>
      </c>
      <c r="H85" s="204"/>
      <c r="I85" s="204"/>
      <c r="J85" s="52"/>
      <c r="K85" s="52"/>
      <c r="L85" s="52"/>
      <c r="M85" s="52"/>
      <c r="N85" s="204" t="s">
        <v>93</v>
      </c>
      <c r="O85" s="204"/>
      <c r="P85" s="204"/>
      <c r="Q85" s="52"/>
      <c r="R85" s="52"/>
      <c r="S85" s="52"/>
      <c r="T85" s="52"/>
      <c r="U85" s="204" t="s">
        <v>93</v>
      </c>
      <c r="V85" s="204"/>
      <c r="W85" s="204"/>
      <c r="X85" s="52"/>
      <c r="Y85" s="52"/>
      <c r="Z85" s="52"/>
      <c r="AA85" s="52"/>
      <c r="AB85" s="204" t="s">
        <v>93</v>
      </c>
      <c r="AC85" s="204"/>
      <c r="AD85" s="204"/>
      <c r="AE85" s="52"/>
      <c r="AF85" s="52"/>
      <c r="AG85" s="52"/>
      <c r="AH85" s="52"/>
      <c r="AI85" s="204" t="s">
        <v>93</v>
      </c>
      <c r="AJ85" s="204"/>
      <c r="AK85" s="204"/>
      <c r="AL85" s="52"/>
      <c r="AM85" s="52"/>
      <c r="AN85" s="52"/>
      <c r="AO85" s="52"/>
      <c r="AP85" s="91"/>
      <c r="AQ85" s="92"/>
      <c r="AR85" s="92"/>
      <c r="AS85" s="93"/>
    </row>
  </sheetData>
  <mergeCells count="526">
    <mergeCell ref="AQ43:AR43"/>
    <mergeCell ref="AQ82:AR82"/>
    <mergeCell ref="Y77:Z77"/>
    <mergeCell ref="AF77:AG77"/>
    <mergeCell ref="AM77:AN77"/>
    <mergeCell ref="R82:S82"/>
    <mergeCell ref="AF50:AG50"/>
    <mergeCell ref="AF51:AG51"/>
    <mergeCell ref="Y82:Z82"/>
    <mergeCell ref="AF82:AG82"/>
    <mergeCell ref="AM82:AN82"/>
    <mergeCell ref="AM59:AN59"/>
    <mergeCell ref="AM60:AN60"/>
    <mergeCell ref="R51:S51"/>
    <mergeCell ref="R52:S52"/>
    <mergeCell ref="AM56:AN56"/>
    <mergeCell ref="AF58:AG58"/>
    <mergeCell ref="AF59:AG59"/>
    <mergeCell ref="AF60:AG60"/>
    <mergeCell ref="AM58:AN58"/>
    <mergeCell ref="AJ79:AK79"/>
    <mergeCell ref="AF52:AG52"/>
    <mergeCell ref="AF53:AG53"/>
    <mergeCell ref="AF54:AG54"/>
    <mergeCell ref="AQ45:AR45"/>
    <mergeCell ref="AQ47:AR47"/>
    <mergeCell ref="AQ50:AR50"/>
    <mergeCell ref="AQ52:AR52"/>
    <mergeCell ref="AQ54:AR54"/>
    <mergeCell ref="AQ58:AR58"/>
    <mergeCell ref="AQ60:AR60"/>
    <mergeCell ref="AQ72:AR72"/>
    <mergeCell ref="AF46:AG46"/>
    <mergeCell ref="AF47:AG47"/>
    <mergeCell ref="AF48:AG48"/>
    <mergeCell ref="AM45:AN45"/>
    <mergeCell ref="AM46:AN46"/>
    <mergeCell ref="AM47:AN47"/>
    <mergeCell ref="AM48:AN48"/>
    <mergeCell ref="A49:AO49"/>
    <mergeCell ref="A47:E48"/>
    <mergeCell ref="N46:P46"/>
    <mergeCell ref="N48:P48"/>
    <mergeCell ref="AC47:AD47"/>
    <mergeCell ref="AB48:AD48"/>
    <mergeCell ref="O50:P50"/>
    <mergeCell ref="Y50:Z50"/>
    <mergeCell ref="AM50:AN50"/>
    <mergeCell ref="AQ77:AR77"/>
    <mergeCell ref="AM51:AN51"/>
    <mergeCell ref="AM52:AN52"/>
    <mergeCell ref="AM53:AN53"/>
    <mergeCell ref="AM54:AN54"/>
    <mergeCell ref="AM55:AN55"/>
    <mergeCell ref="R72:S72"/>
    <mergeCell ref="Y72:Z72"/>
    <mergeCell ref="AF72:AG72"/>
    <mergeCell ref="AM72:AN72"/>
    <mergeCell ref="AJ52:AK52"/>
    <mergeCell ref="AB61:AD61"/>
    <mergeCell ref="AC60:AD60"/>
    <mergeCell ref="AF55:AG55"/>
    <mergeCell ref="R45:S45"/>
    <mergeCell ref="R46:S46"/>
    <mergeCell ref="R47:S47"/>
    <mergeCell ref="R48:S48"/>
    <mergeCell ref="Y45:Z45"/>
    <mergeCell ref="Y46:Z46"/>
    <mergeCell ref="Y47:Z47"/>
    <mergeCell ref="D52:E53"/>
    <mergeCell ref="A58:C59"/>
    <mergeCell ref="D58:E61"/>
    <mergeCell ref="D50:E51"/>
    <mergeCell ref="A54:C55"/>
    <mergeCell ref="A52:C53"/>
    <mergeCell ref="K58:L58"/>
    <mergeCell ref="K59:L59"/>
    <mergeCell ref="K60:L60"/>
    <mergeCell ref="R58:S58"/>
    <mergeCell ref="R59:S59"/>
    <mergeCell ref="R60:S60"/>
    <mergeCell ref="Y58:Z58"/>
    <mergeCell ref="Y59:Z59"/>
    <mergeCell ref="Y60:Z60"/>
    <mergeCell ref="D54:E55"/>
    <mergeCell ref="V54:W54"/>
    <mergeCell ref="A56:E57"/>
    <mergeCell ref="K52:L52"/>
    <mergeCell ref="K53:L53"/>
    <mergeCell ref="R53:S53"/>
    <mergeCell ref="R54:S54"/>
    <mergeCell ref="AM17:AN17"/>
    <mergeCell ref="K5:L5"/>
    <mergeCell ref="R5:S5"/>
    <mergeCell ref="Y5:Z5"/>
    <mergeCell ref="AF5:AG5"/>
    <mergeCell ref="AM5:AN5"/>
    <mergeCell ref="AM8:AN8"/>
    <mergeCell ref="AM9:AN9"/>
    <mergeCell ref="AM10:AN10"/>
    <mergeCell ref="AM11:AN11"/>
    <mergeCell ref="AM12:AN12"/>
    <mergeCell ref="AM13:AN13"/>
    <mergeCell ref="AM14:AN14"/>
    <mergeCell ref="AM15:AN15"/>
    <mergeCell ref="AM16:AN16"/>
    <mergeCell ref="Y10:Z10"/>
    <mergeCell ref="Y11:Z11"/>
    <mergeCell ref="Y12:Z12"/>
    <mergeCell ref="K14:L14"/>
    <mergeCell ref="A16:E17"/>
    <mergeCell ref="H16:I16"/>
    <mergeCell ref="O16:P16"/>
    <mergeCell ref="A10:C11"/>
    <mergeCell ref="D10:E11"/>
    <mergeCell ref="H14:I14"/>
    <mergeCell ref="O10:P10"/>
    <mergeCell ref="A14:E15"/>
    <mergeCell ref="V16:W16"/>
    <mergeCell ref="V10:W10"/>
    <mergeCell ref="G11:I11"/>
    <mergeCell ref="N11:P11"/>
    <mergeCell ref="U11:W11"/>
    <mergeCell ref="K15:L15"/>
    <mergeCell ref="K16:L16"/>
    <mergeCell ref="K17:L17"/>
    <mergeCell ref="R14:S14"/>
    <mergeCell ref="R15:S15"/>
    <mergeCell ref="R16:S16"/>
    <mergeCell ref="R17:S17"/>
    <mergeCell ref="AC16:AD16"/>
    <mergeCell ref="AJ16:AK16"/>
    <mergeCell ref="G17:I17"/>
    <mergeCell ref="N17:P17"/>
    <mergeCell ref="U17:W17"/>
    <mergeCell ref="AB17:AD17"/>
    <mergeCell ref="AI17:AK17"/>
    <mergeCell ref="Y16:Z16"/>
    <mergeCell ref="Y17:Z17"/>
    <mergeCell ref="AF16:AG16"/>
    <mergeCell ref="AF17:AG17"/>
    <mergeCell ref="A34:E35"/>
    <mergeCell ref="H34:I34"/>
    <mergeCell ref="O34:P34"/>
    <mergeCell ref="V34:W34"/>
    <mergeCell ref="A20:AO20"/>
    <mergeCell ref="AJ24:AK24"/>
    <mergeCell ref="H26:AK26"/>
    <mergeCell ref="G27:AK27"/>
    <mergeCell ref="A24:E25"/>
    <mergeCell ref="G25:I25"/>
    <mergeCell ref="N23:P23"/>
    <mergeCell ref="H30:AK30"/>
    <mergeCell ref="A32:E33"/>
    <mergeCell ref="H32:I32"/>
    <mergeCell ref="O32:P32"/>
    <mergeCell ref="V32:W32"/>
    <mergeCell ref="AC32:AD32"/>
    <mergeCell ref="AJ32:AK32"/>
    <mergeCell ref="G33:I33"/>
    <mergeCell ref="N33:P33"/>
    <mergeCell ref="U33:W33"/>
    <mergeCell ref="AB33:AD33"/>
    <mergeCell ref="AI33:AK33"/>
    <mergeCell ref="G31:AK31"/>
    <mergeCell ref="D30:E31"/>
    <mergeCell ref="A30:C31"/>
    <mergeCell ref="A28:E29"/>
    <mergeCell ref="A21:E21"/>
    <mergeCell ref="A22:E23"/>
    <mergeCell ref="AB23:AD23"/>
    <mergeCell ref="AJ22:AK22"/>
    <mergeCell ref="H22:I22"/>
    <mergeCell ref="H24:I24"/>
    <mergeCell ref="O24:P24"/>
    <mergeCell ref="A26:E27"/>
    <mergeCell ref="AI25:AK25"/>
    <mergeCell ref="AC22:AD22"/>
    <mergeCell ref="U23:W23"/>
    <mergeCell ref="N25:P25"/>
    <mergeCell ref="O22:P22"/>
    <mergeCell ref="V22:W22"/>
    <mergeCell ref="H28:AK28"/>
    <mergeCell ref="G29:AK29"/>
    <mergeCell ref="U25:W25"/>
    <mergeCell ref="AB25:AD25"/>
    <mergeCell ref="A18:E19"/>
    <mergeCell ref="V18:W18"/>
    <mergeCell ref="A38:E39"/>
    <mergeCell ref="H38:I38"/>
    <mergeCell ref="O38:P38"/>
    <mergeCell ref="V38:W38"/>
    <mergeCell ref="AC38:AD38"/>
    <mergeCell ref="AB11:AD11"/>
    <mergeCell ref="V12:W12"/>
    <mergeCell ref="AC12:AD12"/>
    <mergeCell ref="U19:W19"/>
    <mergeCell ref="F21:AO21"/>
    <mergeCell ref="AC24:AD24"/>
    <mergeCell ref="AJ14:AK14"/>
    <mergeCell ref="V14:W14"/>
    <mergeCell ref="AI15:AK15"/>
    <mergeCell ref="AB15:AD15"/>
    <mergeCell ref="G23:I23"/>
    <mergeCell ref="AI23:AK23"/>
    <mergeCell ref="N15:P15"/>
    <mergeCell ref="U15:W15"/>
    <mergeCell ref="G15:I15"/>
    <mergeCell ref="O14:P14"/>
    <mergeCell ref="V24:W24"/>
    <mergeCell ref="AI11:AK11"/>
    <mergeCell ref="U13:W13"/>
    <mergeCell ref="A12:C13"/>
    <mergeCell ref="D12:E13"/>
    <mergeCell ref="H12:I12"/>
    <mergeCell ref="O12:P12"/>
    <mergeCell ref="G13:I13"/>
    <mergeCell ref="N13:P13"/>
    <mergeCell ref="H10:I10"/>
    <mergeCell ref="AB13:AD13"/>
    <mergeCell ref="AI13:AK13"/>
    <mergeCell ref="K10:L10"/>
    <mergeCell ref="K11:L11"/>
    <mergeCell ref="K12:L12"/>
    <mergeCell ref="K13:L13"/>
    <mergeCell ref="R10:S10"/>
    <mergeCell ref="R11:S11"/>
    <mergeCell ref="R12:S12"/>
    <mergeCell ref="R13:S13"/>
    <mergeCell ref="AB5:AC5"/>
    <mergeCell ref="AI5:AJ5"/>
    <mergeCell ref="V8:W8"/>
    <mergeCell ref="A6:AO6"/>
    <mergeCell ref="O8:P8"/>
    <mergeCell ref="A8:C9"/>
    <mergeCell ref="D8:E9"/>
    <mergeCell ref="H8:I8"/>
    <mergeCell ref="AC8:AD8"/>
    <mergeCell ref="AB9:AD9"/>
    <mergeCell ref="AI9:AK9"/>
    <mergeCell ref="G9:I9"/>
    <mergeCell ref="K8:L8"/>
    <mergeCell ref="K9:L9"/>
    <mergeCell ref="Y8:Z8"/>
    <mergeCell ref="Y9:Z9"/>
    <mergeCell ref="AF8:AG8"/>
    <mergeCell ref="AF9:AG9"/>
    <mergeCell ref="R8:S8"/>
    <mergeCell ref="R9:S9"/>
    <mergeCell ref="N9:P9"/>
    <mergeCell ref="AK1:AK4"/>
    <mergeCell ref="W2:AA4"/>
    <mergeCell ref="A1:E3"/>
    <mergeCell ref="A7:E7"/>
    <mergeCell ref="D4:E5"/>
    <mergeCell ref="I1:N1"/>
    <mergeCell ref="A4:C5"/>
    <mergeCell ref="AA1:AJ1"/>
    <mergeCell ref="F1:G1"/>
    <mergeCell ref="AI4:AJ4"/>
    <mergeCell ref="N4:O4"/>
    <mergeCell ref="U4:V4"/>
    <mergeCell ref="AB4:AC4"/>
    <mergeCell ref="G4:H4"/>
    <mergeCell ref="AD2:AH4"/>
    <mergeCell ref="P2:T4"/>
    <mergeCell ref="G2:H3"/>
    <mergeCell ref="N2:O3"/>
    <mergeCell ref="U2:V3"/>
    <mergeCell ref="AB2:AC3"/>
    <mergeCell ref="AI2:AJ3"/>
    <mergeCell ref="N5:O5"/>
    <mergeCell ref="U5:V5"/>
    <mergeCell ref="G5:H5"/>
    <mergeCell ref="G85:I85"/>
    <mergeCell ref="AC10:AD10"/>
    <mergeCell ref="AC14:AD14"/>
    <mergeCell ref="U9:W9"/>
    <mergeCell ref="AJ10:AK10"/>
    <mergeCell ref="A84:E85"/>
    <mergeCell ref="H82:I82"/>
    <mergeCell ref="N85:P85"/>
    <mergeCell ref="G61:I61"/>
    <mergeCell ref="A69:AO69"/>
    <mergeCell ref="F70:AO70"/>
    <mergeCell ref="AJ74:AK74"/>
    <mergeCell ref="AI75:AK75"/>
    <mergeCell ref="AJ77:AK77"/>
    <mergeCell ref="AI78:AK78"/>
    <mergeCell ref="AJ58:AK58"/>
    <mergeCell ref="O72:P72"/>
    <mergeCell ref="N73:P73"/>
    <mergeCell ref="O74:P74"/>
    <mergeCell ref="AI59:AK59"/>
    <mergeCell ref="AJ60:AK60"/>
    <mergeCell ref="U59:W59"/>
    <mergeCell ref="A76:E76"/>
    <mergeCell ref="AJ12:AK12"/>
    <mergeCell ref="AI85:AK85"/>
    <mergeCell ref="A43:C44"/>
    <mergeCell ref="H60:I60"/>
    <mergeCell ref="AC58:AD58"/>
    <mergeCell ref="H52:I52"/>
    <mergeCell ref="O52:P52"/>
    <mergeCell ref="V52:W52"/>
    <mergeCell ref="AC52:AD52"/>
    <mergeCell ref="N53:P53"/>
    <mergeCell ref="U53:W53"/>
    <mergeCell ref="AB53:AD53"/>
    <mergeCell ref="G57:AK57"/>
    <mergeCell ref="AI55:AK55"/>
    <mergeCell ref="N55:P55"/>
    <mergeCell ref="AC50:AD50"/>
    <mergeCell ref="AB51:AD51"/>
    <mergeCell ref="U55:W55"/>
    <mergeCell ref="AC54:AD54"/>
    <mergeCell ref="AB55:AD55"/>
    <mergeCell ref="U51:W51"/>
    <mergeCell ref="A50:C51"/>
    <mergeCell ref="AJ54:AK54"/>
    <mergeCell ref="H50:I50"/>
    <mergeCell ref="U48:W48"/>
    <mergeCell ref="AB85:AD85"/>
    <mergeCell ref="N83:P83"/>
    <mergeCell ref="V79:W79"/>
    <mergeCell ref="U80:W80"/>
    <mergeCell ref="U85:W85"/>
    <mergeCell ref="V72:W72"/>
    <mergeCell ref="U73:W73"/>
    <mergeCell ref="N75:P75"/>
    <mergeCell ref="V77:W77"/>
    <mergeCell ref="U78:W78"/>
    <mergeCell ref="AC79:AD79"/>
    <mergeCell ref="AB80:AD80"/>
    <mergeCell ref="AC82:AD82"/>
    <mergeCell ref="AB83:AD83"/>
    <mergeCell ref="AC84:AD84"/>
    <mergeCell ref="AC72:AD72"/>
    <mergeCell ref="AB73:AD73"/>
    <mergeCell ref="AC74:AD74"/>
    <mergeCell ref="AB75:AD75"/>
    <mergeCell ref="AC77:AD77"/>
    <mergeCell ref="AB78:AD78"/>
    <mergeCell ref="O84:P84"/>
    <mergeCell ref="F81:AO81"/>
    <mergeCell ref="N78:P78"/>
    <mergeCell ref="AJ84:AK84"/>
    <mergeCell ref="N59:P59"/>
    <mergeCell ref="O60:P60"/>
    <mergeCell ref="AI80:AK80"/>
    <mergeCell ref="V84:W84"/>
    <mergeCell ref="G83:I83"/>
    <mergeCell ref="H84:I84"/>
    <mergeCell ref="G59:I59"/>
    <mergeCell ref="G75:I75"/>
    <mergeCell ref="AJ72:AK72"/>
    <mergeCell ref="F64:AO64"/>
    <mergeCell ref="H65:I65"/>
    <mergeCell ref="O65:P65"/>
    <mergeCell ref="V65:W65"/>
    <mergeCell ref="AC65:AD65"/>
    <mergeCell ref="AJ65:AK65"/>
    <mergeCell ref="G66:I66"/>
    <mergeCell ref="N66:P66"/>
    <mergeCell ref="U66:W66"/>
    <mergeCell ref="H74:I74"/>
    <mergeCell ref="N61:P61"/>
    <mergeCell ref="AI61:AK61"/>
    <mergeCell ref="AB59:AD59"/>
    <mergeCell ref="O79:P79"/>
    <mergeCell ref="A65:E66"/>
    <mergeCell ref="A67:E68"/>
    <mergeCell ref="A60:C61"/>
    <mergeCell ref="G68:I68"/>
    <mergeCell ref="N80:P80"/>
    <mergeCell ref="AB68:AD68"/>
    <mergeCell ref="K61:L61"/>
    <mergeCell ref="H58:I58"/>
    <mergeCell ref="K72:L72"/>
    <mergeCell ref="K77:L77"/>
    <mergeCell ref="R77:S77"/>
    <mergeCell ref="A79:E80"/>
    <mergeCell ref="V74:W74"/>
    <mergeCell ref="U75:W75"/>
    <mergeCell ref="F76:AO76"/>
    <mergeCell ref="A70:E70"/>
    <mergeCell ref="A71:E71"/>
    <mergeCell ref="A72:E73"/>
    <mergeCell ref="A74:E75"/>
    <mergeCell ref="G80:I80"/>
    <mergeCell ref="AI73:AK73"/>
    <mergeCell ref="A81:E81"/>
    <mergeCell ref="A82:E83"/>
    <mergeCell ref="A77:E78"/>
    <mergeCell ref="F71:AO71"/>
    <mergeCell ref="O58:P58"/>
    <mergeCell ref="H72:I72"/>
    <mergeCell ref="G73:I73"/>
    <mergeCell ref="AJ82:AK82"/>
    <mergeCell ref="AI83:AK83"/>
    <mergeCell ref="V60:W60"/>
    <mergeCell ref="U61:W61"/>
    <mergeCell ref="V82:W82"/>
    <mergeCell ref="U83:W83"/>
    <mergeCell ref="A62:E63"/>
    <mergeCell ref="H62:AK62"/>
    <mergeCell ref="G63:AK63"/>
    <mergeCell ref="N68:P68"/>
    <mergeCell ref="U68:W68"/>
    <mergeCell ref="O77:P77"/>
    <mergeCell ref="A64:E64"/>
    <mergeCell ref="H77:I77"/>
    <mergeCell ref="G78:I78"/>
    <mergeCell ref="H79:I79"/>
    <mergeCell ref="V58:W58"/>
    <mergeCell ref="G35:I35"/>
    <mergeCell ref="N35:P35"/>
    <mergeCell ref="H36:I36"/>
    <mergeCell ref="O36:P36"/>
    <mergeCell ref="V36:W36"/>
    <mergeCell ref="AC36:AD36"/>
    <mergeCell ref="U35:W35"/>
    <mergeCell ref="AB35:AD35"/>
    <mergeCell ref="O82:P82"/>
    <mergeCell ref="H47:I47"/>
    <mergeCell ref="G48:I48"/>
    <mergeCell ref="O47:P47"/>
    <mergeCell ref="AB39:AD39"/>
    <mergeCell ref="K43:L43"/>
    <mergeCell ref="K44:L44"/>
    <mergeCell ref="K45:L45"/>
    <mergeCell ref="K46:L46"/>
    <mergeCell ref="K47:L47"/>
    <mergeCell ref="K48:L48"/>
    <mergeCell ref="R43:S43"/>
    <mergeCell ref="R44:S44"/>
    <mergeCell ref="Y48:Z48"/>
    <mergeCell ref="K82:L82"/>
    <mergeCell ref="G51:I51"/>
    <mergeCell ref="D36:E37"/>
    <mergeCell ref="U46:W46"/>
    <mergeCell ref="AB46:AD46"/>
    <mergeCell ref="N44:P44"/>
    <mergeCell ref="AI46:AK46"/>
    <mergeCell ref="F41:AO42"/>
    <mergeCell ref="AI37:AK37"/>
    <mergeCell ref="V47:W47"/>
    <mergeCell ref="A45:E46"/>
    <mergeCell ref="AJ36:AK36"/>
    <mergeCell ref="A40:AO40"/>
    <mergeCell ref="AJ38:AK38"/>
    <mergeCell ref="G39:I39"/>
    <mergeCell ref="N39:P39"/>
    <mergeCell ref="U39:W39"/>
    <mergeCell ref="AJ45:AK45"/>
    <mergeCell ref="G46:I46"/>
    <mergeCell ref="G37:I37"/>
    <mergeCell ref="N37:P37"/>
    <mergeCell ref="U37:W37"/>
    <mergeCell ref="AB37:AD37"/>
    <mergeCell ref="AI39:AK39"/>
    <mergeCell ref="A36:C37"/>
    <mergeCell ref="AF45:AG45"/>
    <mergeCell ref="G53:I53"/>
    <mergeCell ref="AI51:AK51"/>
    <mergeCell ref="Y52:Z52"/>
    <mergeCell ref="Y53:Z53"/>
    <mergeCell ref="Y54:Z54"/>
    <mergeCell ref="Y55:Z55"/>
    <mergeCell ref="K50:L50"/>
    <mergeCell ref="K51:L51"/>
    <mergeCell ref="K54:L54"/>
    <mergeCell ref="K55:L55"/>
    <mergeCell ref="G55:I55"/>
    <mergeCell ref="R55:S55"/>
    <mergeCell ref="Y51:Z51"/>
    <mergeCell ref="V50:W50"/>
    <mergeCell ref="R50:S50"/>
    <mergeCell ref="A41:E41"/>
    <mergeCell ref="A42:E42"/>
    <mergeCell ref="D43:E44"/>
    <mergeCell ref="H43:I43"/>
    <mergeCell ref="G44:I44"/>
    <mergeCell ref="AB66:AD66"/>
    <mergeCell ref="AI66:AK66"/>
    <mergeCell ref="H67:I67"/>
    <mergeCell ref="O67:P67"/>
    <mergeCell ref="V67:W67"/>
    <mergeCell ref="AC67:AD67"/>
    <mergeCell ref="AJ67:AK67"/>
    <mergeCell ref="O43:P43"/>
    <mergeCell ref="U43:AO44"/>
    <mergeCell ref="H45:I45"/>
    <mergeCell ref="O45:P45"/>
    <mergeCell ref="V45:W45"/>
    <mergeCell ref="AC45:AD45"/>
    <mergeCell ref="N51:P51"/>
    <mergeCell ref="O54:P54"/>
    <mergeCell ref="H56:AK56"/>
    <mergeCell ref="AI53:AK53"/>
    <mergeCell ref="AJ50:AK50"/>
    <mergeCell ref="H54:I54"/>
    <mergeCell ref="Y18:Z18"/>
    <mergeCell ref="Y19:Z19"/>
    <mergeCell ref="AQ18:AR18"/>
    <mergeCell ref="AQ8:AR8"/>
    <mergeCell ref="AQ10:AR10"/>
    <mergeCell ref="AQ12:AR12"/>
    <mergeCell ref="AQ7:AR7"/>
    <mergeCell ref="AQ14:AR14"/>
    <mergeCell ref="AI68:AK68"/>
    <mergeCell ref="AJ34:AK34"/>
    <mergeCell ref="AJ47:AK47"/>
    <mergeCell ref="AI48:AK48"/>
    <mergeCell ref="AI35:AK35"/>
    <mergeCell ref="AC34:AD34"/>
    <mergeCell ref="AJ8:AK8"/>
    <mergeCell ref="Y13:Z13"/>
    <mergeCell ref="Y14:Z14"/>
    <mergeCell ref="Y15:Z15"/>
    <mergeCell ref="AF10:AG10"/>
    <mergeCell ref="AF11:AG11"/>
    <mergeCell ref="AF12:AG12"/>
    <mergeCell ref="AF13:AG13"/>
    <mergeCell ref="AF14:AG14"/>
    <mergeCell ref="AF15:AG15"/>
  </mergeCells>
  <conditionalFormatting sqref="G14">
    <cfRule type="cellIs" dxfId="389" priority="245" operator="equal">
      <formula>"✗"</formula>
    </cfRule>
    <cfRule type="cellIs" dxfId="388" priority="246" operator="equal">
      <formula>"✓"</formula>
    </cfRule>
  </conditionalFormatting>
  <conditionalFormatting sqref="G14">
    <cfRule type="cellIs" dxfId="387" priority="244" operator="equal">
      <formula>"||"</formula>
    </cfRule>
  </conditionalFormatting>
  <conditionalFormatting sqref="AI14 AB14 U14">
    <cfRule type="cellIs" dxfId="386" priority="242" operator="equal">
      <formula>"✗"</formula>
    </cfRule>
    <cfRule type="cellIs" dxfId="385" priority="243" operator="equal">
      <formula>"✓"</formula>
    </cfRule>
  </conditionalFormatting>
  <conditionalFormatting sqref="AI14 AB14 U14">
    <cfRule type="cellIs" dxfId="384" priority="241" operator="equal">
      <formula>"||"</formula>
    </cfRule>
  </conditionalFormatting>
  <conditionalFormatting sqref="G8:H8">
    <cfRule type="cellIs" dxfId="383" priority="239" operator="equal">
      <formula>"✗"</formula>
    </cfRule>
    <cfRule type="cellIs" dxfId="382" priority="240" operator="equal">
      <formula>"✓"</formula>
    </cfRule>
  </conditionalFormatting>
  <conditionalFormatting sqref="G8:H8">
    <cfRule type="cellIs" dxfId="381" priority="238" operator="equal">
      <formula>"||"</formula>
    </cfRule>
  </conditionalFormatting>
  <conditionalFormatting sqref="AI8 AB8 U8">
    <cfRule type="cellIs" dxfId="380" priority="236" operator="equal">
      <formula>"✗"</formula>
    </cfRule>
    <cfRule type="cellIs" dxfId="379" priority="237" operator="equal">
      <formula>"✓"</formula>
    </cfRule>
  </conditionalFormatting>
  <conditionalFormatting sqref="AI8 AB8 U8">
    <cfRule type="cellIs" dxfId="378" priority="235" operator="equal">
      <formula>"||"</formula>
    </cfRule>
  </conditionalFormatting>
  <conditionalFormatting sqref="G43 G22">
    <cfRule type="cellIs" dxfId="377" priority="227" operator="equal">
      <formula>"✗"</formula>
    </cfRule>
    <cfRule type="cellIs" dxfId="376" priority="228" operator="equal">
      <formula>"✓"</formula>
    </cfRule>
  </conditionalFormatting>
  <conditionalFormatting sqref="G43 G22">
    <cfRule type="cellIs" dxfId="375" priority="226" operator="equal">
      <formula>"||"</formula>
    </cfRule>
  </conditionalFormatting>
  <conditionalFormatting sqref="N43 AI22 AB22 U22 N22">
    <cfRule type="cellIs" dxfId="374" priority="224" operator="equal">
      <formula>"✗"</formula>
    </cfRule>
    <cfRule type="cellIs" dxfId="373" priority="225" operator="equal">
      <formula>"✓"</formula>
    </cfRule>
  </conditionalFormatting>
  <conditionalFormatting sqref="N43 AI22 AB22 U22 N22">
    <cfRule type="cellIs" dxfId="372" priority="223" operator="equal">
      <formula>"||"</formula>
    </cfRule>
  </conditionalFormatting>
  <conditionalFormatting sqref="G54 G50 G47 G24">
    <cfRule type="cellIs" dxfId="371" priority="215" operator="equal">
      <formula>"✗"</formula>
    </cfRule>
    <cfRule type="cellIs" dxfId="370" priority="216" operator="equal">
      <formula>"✓"</formula>
    </cfRule>
  </conditionalFormatting>
  <conditionalFormatting sqref="G54 G50 G47 G24">
    <cfRule type="cellIs" dxfId="369" priority="214" operator="equal">
      <formula>"||"</formula>
    </cfRule>
  </conditionalFormatting>
  <conditionalFormatting sqref="AI54 AB54 U54 N54 AI50 AB50 U50 N50 AI47 AB47 U47 N47 AI24 AB24 U24 N24">
    <cfRule type="cellIs" dxfId="368" priority="212" operator="equal">
      <formula>"✗"</formula>
    </cfRule>
    <cfRule type="cellIs" dxfId="367" priority="213" operator="equal">
      <formula>"✓"</formula>
    </cfRule>
  </conditionalFormatting>
  <conditionalFormatting sqref="AI54 AB54 U54 N54 AI50 AB50 U50 N50 AI47 AB47 U47 N47 AI24 AB24 U24 N24">
    <cfRule type="cellIs" dxfId="366" priority="211" operator="equal">
      <formula>"||"</formula>
    </cfRule>
  </conditionalFormatting>
  <conditionalFormatting sqref="G58">
    <cfRule type="cellIs" dxfId="365" priority="209" operator="equal">
      <formula>"✗"</formula>
    </cfRule>
    <cfRule type="cellIs" dxfId="364" priority="210" operator="equal">
      <formula>"✓"</formula>
    </cfRule>
  </conditionalFormatting>
  <conditionalFormatting sqref="G58">
    <cfRule type="cellIs" dxfId="363" priority="208" operator="equal">
      <formula>"||"</formula>
    </cfRule>
  </conditionalFormatting>
  <conditionalFormatting sqref="AI58 AB58 U58 N58">
    <cfRule type="cellIs" dxfId="362" priority="206" operator="equal">
      <formula>"✗"</formula>
    </cfRule>
    <cfRule type="cellIs" dxfId="361" priority="207" operator="equal">
      <formula>"✓"</formula>
    </cfRule>
  </conditionalFormatting>
  <conditionalFormatting sqref="AI58 AB58 U58 N58">
    <cfRule type="cellIs" dxfId="360" priority="205" operator="equal">
      <formula>"||"</formula>
    </cfRule>
  </conditionalFormatting>
  <conditionalFormatting sqref="G82 G74 G72 G84">
    <cfRule type="cellIs" dxfId="359" priority="197" operator="equal">
      <formula>"✗"</formula>
    </cfRule>
    <cfRule type="cellIs" dxfId="358" priority="198" operator="equal">
      <formula>"✓"</formula>
    </cfRule>
  </conditionalFormatting>
  <conditionalFormatting sqref="G82 G74 G72 G84">
    <cfRule type="cellIs" dxfId="357" priority="196" operator="equal">
      <formula>"||"</formula>
    </cfRule>
  </conditionalFormatting>
  <conditionalFormatting sqref="AI82 AB82 U82 N82 AI74 AB74 U74 N74 AI72 AB72 U72 N72 AI84 AB84 U84 N84">
    <cfRule type="cellIs" dxfId="356" priority="194" operator="equal">
      <formula>"✗"</formula>
    </cfRule>
    <cfRule type="cellIs" dxfId="355" priority="195" operator="equal">
      <formula>"✓"</formula>
    </cfRule>
  </conditionalFormatting>
  <conditionalFormatting sqref="AI82 AB82 U82 N82 AI74 AB74 U74 N74 AI72 AB72 U72 N72 AI84 AB84 U84 N84">
    <cfRule type="cellIs" dxfId="354" priority="193" operator="equal">
      <formula>"||"</formula>
    </cfRule>
  </conditionalFormatting>
  <conditionalFormatting sqref="G79">
    <cfRule type="cellIs" dxfId="353" priority="191" operator="equal">
      <formula>"✗"</formula>
    </cfRule>
    <cfRule type="cellIs" dxfId="352" priority="192" operator="equal">
      <formula>"✓"</formula>
    </cfRule>
  </conditionalFormatting>
  <conditionalFormatting sqref="G79">
    <cfRule type="cellIs" dxfId="351" priority="190" operator="equal">
      <formula>"||"</formula>
    </cfRule>
  </conditionalFormatting>
  <conditionalFormatting sqref="AI79 AB79 U79 N79">
    <cfRule type="cellIs" dxfId="350" priority="188" operator="equal">
      <formula>"✗"</formula>
    </cfRule>
    <cfRule type="cellIs" dxfId="349" priority="189" operator="equal">
      <formula>"✓"</formula>
    </cfRule>
  </conditionalFormatting>
  <conditionalFormatting sqref="AI79 AB79 U79 N79">
    <cfRule type="cellIs" dxfId="348" priority="187" operator="equal">
      <formula>"||"</formula>
    </cfRule>
  </conditionalFormatting>
  <conditionalFormatting sqref="G56">
    <cfRule type="cellIs" dxfId="347" priority="185" operator="equal">
      <formula>"✗"</formula>
    </cfRule>
    <cfRule type="cellIs" dxfId="346" priority="186" operator="equal">
      <formula>"✓"</formula>
    </cfRule>
  </conditionalFormatting>
  <conditionalFormatting sqref="G56">
    <cfRule type="cellIs" dxfId="345" priority="184" operator="equal">
      <formula>"||"</formula>
    </cfRule>
  </conditionalFormatting>
  <conditionalFormatting sqref="AI60 AB60 U60 N60 G60">
    <cfRule type="cellIs" dxfId="344" priority="182" operator="equal">
      <formula>"✗"</formula>
    </cfRule>
    <cfRule type="cellIs" dxfId="343" priority="183" operator="equal">
      <formula>"✓"</formula>
    </cfRule>
  </conditionalFormatting>
  <conditionalFormatting sqref="AI60 AB60 U60 N60 G60">
    <cfRule type="cellIs" dxfId="342" priority="181" operator="equal">
      <formula>"||"</formula>
    </cfRule>
  </conditionalFormatting>
  <conditionalFormatting sqref="G26">
    <cfRule type="cellIs" dxfId="341" priority="179" operator="equal">
      <formula>"✗"</formula>
    </cfRule>
    <cfRule type="cellIs" dxfId="340" priority="180" operator="equal">
      <formula>"✓"</formula>
    </cfRule>
  </conditionalFormatting>
  <conditionalFormatting sqref="G26">
    <cfRule type="cellIs" dxfId="339" priority="178" operator="equal">
      <formula>"||"</formula>
    </cfRule>
  </conditionalFormatting>
  <conditionalFormatting sqref="G28">
    <cfRule type="cellIs" dxfId="338" priority="176" operator="equal">
      <formula>"✗"</formula>
    </cfRule>
    <cfRule type="cellIs" dxfId="337" priority="177" operator="equal">
      <formula>"✓"</formula>
    </cfRule>
  </conditionalFormatting>
  <conditionalFormatting sqref="G28">
    <cfRule type="cellIs" dxfId="336" priority="175" operator="equal">
      <formula>"||"</formula>
    </cfRule>
  </conditionalFormatting>
  <conditionalFormatting sqref="G52">
    <cfRule type="cellIs" dxfId="335" priority="173" operator="equal">
      <formula>"✗"</formula>
    </cfRule>
    <cfRule type="cellIs" dxfId="334" priority="174" operator="equal">
      <formula>"✓"</formula>
    </cfRule>
  </conditionalFormatting>
  <conditionalFormatting sqref="G52">
    <cfRule type="cellIs" dxfId="333" priority="172" operator="equal">
      <formula>"||"</formula>
    </cfRule>
  </conditionalFormatting>
  <conditionalFormatting sqref="AI52 AB52 U52 N52">
    <cfRule type="cellIs" dxfId="332" priority="170" operator="equal">
      <formula>"✗"</formula>
    </cfRule>
    <cfRule type="cellIs" dxfId="331" priority="171" operator="equal">
      <formula>"✓"</formula>
    </cfRule>
  </conditionalFormatting>
  <conditionalFormatting sqref="AI52 AB52 U52 N52">
    <cfRule type="cellIs" dxfId="330" priority="169" operator="equal">
      <formula>"||"</formula>
    </cfRule>
  </conditionalFormatting>
  <conditionalFormatting sqref="G45">
    <cfRule type="cellIs" dxfId="329" priority="167" operator="equal">
      <formula>"✗"</formula>
    </cfRule>
    <cfRule type="cellIs" dxfId="328" priority="168" operator="equal">
      <formula>"✓"</formula>
    </cfRule>
  </conditionalFormatting>
  <conditionalFormatting sqref="G45">
    <cfRule type="cellIs" dxfId="327" priority="166" operator="equal">
      <formula>"||"</formula>
    </cfRule>
  </conditionalFormatting>
  <conditionalFormatting sqref="AI45 AB45 U45 N45">
    <cfRule type="cellIs" dxfId="326" priority="164" operator="equal">
      <formula>"✗"</formula>
    </cfRule>
    <cfRule type="cellIs" dxfId="325" priority="165" operator="equal">
      <formula>"✓"</formula>
    </cfRule>
  </conditionalFormatting>
  <conditionalFormatting sqref="AI45 AB45 U45 N45">
    <cfRule type="cellIs" dxfId="324" priority="163" operator="equal">
      <formula>"||"</formula>
    </cfRule>
  </conditionalFormatting>
  <conditionalFormatting sqref="G10:H10">
    <cfRule type="cellIs" dxfId="323" priority="161" operator="equal">
      <formula>"✗"</formula>
    </cfRule>
    <cfRule type="cellIs" dxfId="322" priority="162" operator="equal">
      <formula>"✓"</formula>
    </cfRule>
  </conditionalFormatting>
  <conditionalFormatting sqref="G10:H10">
    <cfRule type="cellIs" dxfId="321" priority="160" operator="equal">
      <formula>"||"</formula>
    </cfRule>
  </conditionalFormatting>
  <conditionalFormatting sqref="AI10 AB10 U10">
    <cfRule type="cellIs" dxfId="320" priority="158" operator="equal">
      <formula>"✗"</formula>
    </cfRule>
    <cfRule type="cellIs" dxfId="319" priority="159" operator="equal">
      <formula>"✓"</formula>
    </cfRule>
  </conditionalFormatting>
  <conditionalFormatting sqref="AI10 AB10 U10">
    <cfRule type="cellIs" dxfId="318" priority="157" operator="equal">
      <formula>"||"</formula>
    </cfRule>
  </conditionalFormatting>
  <conditionalFormatting sqref="G12">
    <cfRule type="cellIs" dxfId="317" priority="149" operator="equal">
      <formula>"✗"</formula>
    </cfRule>
    <cfRule type="cellIs" dxfId="316" priority="150" operator="equal">
      <formula>"✓"</formula>
    </cfRule>
  </conditionalFormatting>
  <conditionalFormatting sqref="G12">
    <cfRule type="cellIs" dxfId="315" priority="148" operator="equal">
      <formula>"||"</formula>
    </cfRule>
  </conditionalFormatting>
  <conditionalFormatting sqref="AI12 AB12 U12">
    <cfRule type="cellIs" dxfId="314" priority="146" operator="equal">
      <formula>"✗"</formula>
    </cfRule>
    <cfRule type="cellIs" dxfId="313" priority="147" operator="equal">
      <formula>"✓"</formula>
    </cfRule>
  </conditionalFormatting>
  <conditionalFormatting sqref="AI12 AB12 U12">
    <cfRule type="cellIs" dxfId="312" priority="145" operator="equal">
      <formula>"||"</formula>
    </cfRule>
  </conditionalFormatting>
  <conditionalFormatting sqref="G30">
    <cfRule type="cellIs" dxfId="311" priority="143" operator="equal">
      <formula>"✗"</formula>
    </cfRule>
    <cfRule type="cellIs" dxfId="310" priority="144" operator="equal">
      <formula>"✓"</formula>
    </cfRule>
  </conditionalFormatting>
  <conditionalFormatting sqref="G30">
    <cfRule type="cellIs" dxfId="309" priority="142" operator="equal">
      <formula>"||"</formula>
    </cfRule>
  </conditionalFormatting>
  <conditionalFormatting sqref="G32">
    <cfRule type="cellIs" dxfId="308" priority="140" operator="equal">
      <formula>"✗"</formula>
    </cfRule>
    <cfRule type="cellIs" dxfId="307" priority="141" operator="equal">
      <formula>"✓"</formula>
    </cfRule>
  </conditionalFormatting>
  <conditionalFormatting sqref="G32">
    <cfRule type="cellIs" dxfId="306" priority="139" operator="equal">
      <formula>"||"</formula>
    </cfRule>
  </conditionalFormatting>
  <conditionalFormatting sqref="AI32 AB32 U32 N32">
    <cfRule type="cellIs" dxfId="305" priority="137" operator="equal">
      <formula>"✗"</formula>
    </cfRule>
    <cfRule type="cellIs" dxfId="304" priority="138" operator="equal">
      <formula>"✓"</formula>
    </cfRule>
  </conditionalFormatting>
  <conditionalFormatting sqref="AI32 AB32 U32 N32">
    <cfRule type="cellIs" dxfId="303" priority="136" operator="equal">
      <formula>"||"</formula>
    </cfRule>
  </conditionalFormatting>
  <conditionalFormatting sqref="G34">
    <cfRule type="cellIs" dxfId="302" priority="134" operator="equal">
      <formula>"✗"</formula>
    </cfRule>
    <cfRule type="cellIs" dxfId="301" priority="135" operator="equal">
      <formula>"✓"</formula>
    </cfRule>
  </conditionalFormatting>
  <conditionalFormatting sqref="G34">
    <cfRule type="cellIs" dxfId="300" priority="133" operator="equal">
      <formula>"||"</formula>
    </cfRule>
  </conditionalFormatting>
  <conditionalFormatting sqref="AI34 AB34 U34 N34">
    <cfRule type="cellIs" dxfId="299" priority="131" operator="equal">
      <formula>"✗"</formula>
    </cfRule>
    <cfRule type="cellIs" dxfId="298" priority="132" operator="equal">
      <formula>"✓"</formula>
    </cfRule>
  </conditionalFormatting>
  <conditionalFormatting sqref="AI34 AB34 U34 N34">
    <cfRule type="cellIs" dxfId="297" priority="130" operator="equal">
      <formula>"||"</formula>
    </cfRule>
  </conditionalFormatting>
  <conditionalFormatting sqref="G36">
    <cfRule type="cellIs" dxfId="296" priority="128" operator="equal">
      <formula>"✗"</formula>
    </cfRule>
    <cfRule type="cellIs" dxfId="295" priority="129" operator="equal">
      <formula>"✓"</formula>
    </cfRule>
  </conditionalFormatting>
  <conditionalFormatting sqref="G36">
    <cfRule type="cellIs" dxfId="294" priority="127" operator="equal">
      <formula>"||"</formula>
    </cfRule>
  </conditionalFormatting>
  <conditionalFormatting sqref="AI36 AB36 U36 N36">
    <cfRule type="cellIs" dxfId="293" priority="125" operator="equal">
      <formula>"✗"</formula>
    </cfRule>
    <cfRule type="cellIs" dxfId="292" priority="126" operator="equal">
      <formula>"✓"</formula>
    </cfRule>
  </conditionalFormatting>
  <conditionalFormatting sqref="AI36 AB36 U36 N36">
    <cfRule type="cellIs" dxfId="291" priority="124" operator="equal">
      <formula>"||"</formula>
    </cfRule>
  </conditionalFormatting>
  <conditionalFormatting sqref="G65">
    <cfRule type="cellIs" dxfId="290" priority="122" operator="equal">
      <formula>"✗"</formula>
    </cfRule>
    <cfRule type="cellIs" dxfId="289" priority="123" operator="equal">
      <formula>"✓"</formula>
    </cfRule>
  </conditionalFormatting>
  <conditionalFormatting sqref="G65">
    <cfRule type="cellIs" dxfId="288" priority="121" operator="equal">
      <formula>"||"</formula>
    </cfRule>
  </conditionalFormatting>
  <conditionalFormatting sqref="AI65 AB65 U65 N65">
    <cfRule type="cellIs" dxfId="287" priority="119" operator="equal">
      <formula>"✗"</formula>
    </cfRule>
    <cfRule type="cellIs" dxfId="286" priority="120" operator="equal">
      <formula>"✓"</formula>
    </cfRule>
  </conditionalFormatting>
  <conditionalFormatting sqref="AI65 AB65 U65 N65">
    <cfRule type="cellIs" dxfId="285" priority="118" operator="equal">
      <formula>"||"</formula>
    </cfRule>
  </conditionalFormatting>
  <conditionalFormatting sqref="AI67 AB67 U67 N67 G67">
    <cfRule type="cellIs" dxfId="284" priority="116" operator="equal">
      <formula>"✗"</formula>
    </cfRule>
    <cfRule type="cellIs" dxfId="283" priority="117" operator="equal">
      <formula>"✓"</formula>
    </cfRule>
  </conditionalFormatting>
  <conditionalFormatting sqref="AI67 AB67 U67 N67 G67">
    <cfRule type="cellIs" dxfId="282" priority="115" operator="equal">
      <formula>"||"</formula>
    </cfRule>
  </conditionalFormatting>
  <conditionalFormatting sqref="G16">
    <cfRule type="cellIs" dxfId="281" priority="113" operator="equal">
      <formula>"✗"</formula>
    </cfRule>
    <cfRule type="cellIs" dxfId="280" priority="114" operator="equal">
      <formula>"✓"</formula>
    </cfRule>
  </conditionalFormatting>
  <conditionalFormatting sqref="G16">
    <cfRule type="cellIs" dxfId="279" priority="112" operator="equal">
      <formula>"||"</formula>
    </cfRule>
  </conditionalFormatting>
  <conditionalFormatting sqref="AI16 AB16 U16">
    <cfRule type="cellIs" dxfId="278" priority="110" operator="equal">
      <formula>"✗"</formula>
    </cfRule>
    <cfRule type="cellIs" dxfId="277" priority="111" operator="equal">
      <formula>"✓"</formula>
    </cfRule>
  </conditionalFormatting>
  <conditionalFormatting sqref="AI16 AB16 U16">
    <cfRule type="cellIs" dxfId="276" priority="109" operator="equal">
      <formula>"||"</formula>
    </cfRule>
  </conditionalFormatting>
  <conditionalFormatting sqref="G62">
    <cfRule type="cellIs" dxfId="275" priority="98" operator="equal">
      <formula>"✗"</formula>
    </cfRule>
    <cfRule type="cellIs" dxfId="274" priority="99" operator="equal">
      <formula>"✓"</formula>
    </cfRule>
  </conditionalFormatting>
  <conditionalFormatting sqref="G62">
    <cfRule type="cellIs" dxfId="273" priority="97" operator="equal">
      <formula>"||"</formula>
    </cfRule>
  </conditionalFormatting>
  <conditionalFormatting sqref="U18">
    <cfRule type="cellIs" dxfId="272" priority="38" operator="equal">
      <formula>"✗"</formula>
    </cfRule>
    <cfRule type="cellIs" dxfId="271" priority="39" operator="equal">
      <formula>"✓"</formula>
    </cfRule>
  </conditionalFormatting>
  <conditionalFormatting sqref="U18">
    <cfRule type="cellIs" dxfId="270" priority="37" operator="equal">
      <formula>"||"</formula>
    </cfRule>
  </conditionalFormatting>
  <conditionalFormatting sqref="G38">
    <cfRule type="cellIs" dxfId="269" priority="35" operator="equal">
      <formula>"✗"</formula>
    </cfRule>
    <cfRule type="cellIs" dxfId="268" priority="36" operator="equal">
      <formula>"✓"</formula>
    </cfRule>
  </conditionalFormatting>
  <conditionalFormatting sqref="G38">
    <cfRule type="cellIs" dxfId="267" priority="34" operator="equal">
      <formula>"||"</formula>
    </cfRule>
  </conditionalFormatting>
  <conditionalFormatting sqref="AI38 AB38 U38 N38">
    <cfRule type="cellIs" dxfId="266" priority="32" operator="equal">
      <formula>"✗"</formula>
    </cfRule>
    <cfRule type="cellIs" dxfId="265" priority="33" operator="equal">
      <formula>"✓"</formula>
    </cfRule>
  </conditionalFormatting>
  <conditionalFormatting sqref="AI38 AB38 U38 N38">
    <cfRule type="cellIs" dxfId="264" priority="31" operator="equal">
      <formula>"||"</formula>
    </cfRule>
  </conditionalFormatting>
  <conditionalFormatting sqref="N14">
    <cfRule type="cellIs" dxfId="263" priority="29" operator="equal">
      <formula>"✗"</formula>
    </cfRule>
    <cfRule type="cellIs" dxfId="262" priority="30" operator="equal">
      <formula>"✓"</formula>
    </cfRule>
  </conditionalFormatting>
  <conditionalFormatting sqref="N14">
    <cfRule type="cellIs" dxfId="261" priority="28" operator="equal">
      <formula>"||"</formula>
    </cfRule>
  </conditionalFormatting>
  <conditionalFormatting sqref="N8">
    <cfRule type="cellIs" dxfId="260" priority="26" operator="equal">
      <formula>"✗"</formula>
    </cfRule>
    <cfRule type="cellIs" dxfId="259" priority="27" operator="equal">
      <formula>"✓"</formula>
    </cfRule>
  </conditionalFormatting>
  <conditionalFormatting sqref="N8">
    <cfRule type="cellIs" dxfId="258" priority="25" operator="equal">
      <formula>"||"</formula>
    </cfRule>
  </conditionalFormatting>
  <conditionalFormatting sqref="N10">
    <cfRule type="cellIs" dxfId="257" priority="23" operator="equal">
      <formula>"✗"</formula>
    </cfRule>
    <cfRule type="cellIs" dxfId="256" priority="24" operator="equal">
      <formula>"✓"</formula>
    </cfRule>
  </conditionalFormatting>
  <conditionalFormatting sqref="N10">
    <cfRule type="cellIs" dxfId="255" priority="22" operator="equal">
      <formula>"||"</formula>
    </cfRule>
  </conditionalFormatting>
  <conditionalFormatting sqref="N12">
    <cfRule type="cellIs" dxfId="254" priority="20" operator="equal">
      <formula>"✗"</formula>
    </cfRule>
    <cfRule type="cellIs" dxfId="253" priority="21" operator="equal">
      <formula>"✓"</formula>
    </cfRule>
  </conditionalFormatting>
  <conditionalFormatting sqref="N12">
    <cfRule type="cellIs" dxfId="252" priority="19" operator="equal">
      <formula>"||"</formula>
    </cfRule>
  </conditionalFormatting>
  <conditionalFormatting sqref="N16">
    <cfRule type="cellIs" dxfId="251" priority="17" operator="equal">
      <formula>"✗"</formula>
    </cfRule>
    <cfRule type="cellIs" dxfId="250" priority="18" operator="equal">
      <formula>"✓"</formula>
    </cfRule>
  </conditionalFormatting>
  <conditionalFormatting sqref="N16">
    <cfRule type="cellIs" dxfId="249" priority="16" operator="equal">
      <formula>"||"</formula>
    </cfRule>
  </conditionalFormatting>
  <conditionalFormatting sqref="G77">
    <cfRule type="cellIs" dxfId="248" priority="14" operator="equal">
      <formula>"✗"</formula>
    </cfRule>
    <cfRule type="cellIs" dxfId="247" priority="15" operator="equal">
      <formula>"✓"</formula>
    </cfRule>
  </conditionalFormatting>
  <conditionalFormatting sqref="G77">
    <cfRule type="cellIs" dxfId="246" priority="13" operator="equal">
      <formula>"||"</formula>
    </cfRule>
  </conditionalFormatting>
  <conditionalFormatting sqref="N77">
    <cfRule type="cellIs" dxfId="245" priority="11" operator="equal">
      <formula>"✗"</formula>
    </cfRule>
    <cfRule type="cellIs" dxfId="244" priority="12" operator="equal">
      <formula>"✓"</formula>
    </cfRule>
  </conditionalFormatting>
  <conditionalFormatting sqref="N77">
    <cfRule type="cellIs" dxfId="243" priority="10" operator="equal">
      <formula>"||"</formula>
    </cfRule>
  </conditionalFormatting>
  <conditionalFormatting sqref="U77">
    <cfRule type="cellIs" dxfId="242" priority="8" operator="equal">
      <formula>"✗"</formula>
    </cfRule>
    <cfRule type="cellIs" dxfId="241" priority="9" operator="equal">
      <formula>"✓"</formula>
    </cfRule>
  </conditionalFormatting>
  <conditionalFormatting sqref="U77">
    <cfRule type="cellIs" dxfId="240" priority="7" operator="equal">
      <formula>"||"</formula>
    </cfRule>
  </conditionalFormatting>
  <conditionalFormatting sqref="AB77">
    <cfRule type="cellIs" dxfId="239" priority="5" operator="equal">
      <formula>"✗"</formula>
    </cfRule>
    <cfRule type="cellIs" dxfId="238" priority="6" operator="equal">
      <formula>"✓"</formula>
    </cfRule>
  </conditionalFormatting>
  <conditionalFormatting sqref="AB77">
    <cfRule type="cellIs" dxfId="237" priority="4" operator="equal">
      <formula>"||"</formula>
    </cfRule>
  </conditionalFormatting>
  <conditionalFormatting sqref="AI77">
    <cfRule type="cellIs" dxfId="236" priority="2" operator="equal">
      <formula>"✗"</formula>
    </cfRule>
    <cfRule type="cellIs" dxfId="235" priority="3" operator="equal">
      <formula>"✓"</formula>
    </cfRule>
  </conditionalFormatting>
  <conditionalFormatting sqref="AI77">
    <cfRule type="cellIs" dxfId="234" priority="1" operator="equal">
      <formula>"||"</formula>
    </cfRule>
  </conditionalFormatting>
  <dataValidations count="3">
    <dataValidation type="whole" allowBlank="1" showInputMessage="1" showErrorMessage="1" errorTitle="NOTE!" error="Enter year number only (starting from 2017)" promptTitle="Year" prompt="Enter year number!" sqref="H1" xr:uid="{563273CF-D3D3-4E33-953A-3CF470B2F37C}">
      <formula1>2017</formula1>
      <formula2>3000</formula2>
    </dataValidation>
    <dataValidation type="whole" allowBlank="1" showInputMessage="1" showErrorMessage="1" errorTitle="NOTE!" error="Enter valid week number only!" promptTitle="Week" prompt="Enter week number!" sqref="O1" xr:uid="{2D228FAD-201C-4C40-8CA0-F925BD486BF3}">
      <formula1>1</formula1>
      <formula2>54</formula2>
    </dataValidation>
    <dataValidation type="list" allowBlank="1" showInputMessage="1" showErrorMessage="1" sqref="AB22 AI22 G22 U58 U12 AB82 AI60 U79 AB74 AB12 AI82 AB79 G12 U60 AB72 U8 AB14 N22 AI12 AB38 AB8 AI14 U50 G43 AI8 G14 AB50 N43 G8 AB84 AI50 G50 U24 G26 U47 AI84 U54 AB58 AB60 AI72 AI38 N77 AI74 G82 AI79 G84 U14 N50 AB47 U77 AB54 AI58 G56 G72 U22 AB24 N47 AI24 U74 AI47 N82 AI54 G58 G38 AB77 G60 N72 N38 N16 G74 G24 N54 G47 G79 G54 N58 U82 N79 N60 U72 U38 G77 N74 N24 G28 U52 AB52 AI52 N52 G52 U45 AB45 N45 AI45 G45 U10 AB10 AI10 G10 N84 G30 U32 AB32 AI32 G32 N32 AB34 AI34 G34 N34 U34 U36 AB36 AI36 G36 N36 U65 AI67 U67 AB65 AB67 AI65 G65 G67 N65 N67 AB16 AI16 G16 U84 U16 G62 U18 N12 N8 N14 N10 AI77" xr:uid="{213C825F-61E5-4BEE-A9E6-4251962FD3AE}">
      <formula1>"✓,✗,||"</formula1>
    </dataValidation>
  </dataValidations>
  <hyperlinks>
    <hyperlink ref="A1:E3" r:id="rId1" display="Trade Reporting Unit Daily Checklist" xr:uid="{4371F8D1-F7C7-4ECF-B220-FC7221121E4A}"/>
    <hyperlink ref="K5:L5" r:id="rId2" display="Countable items" xr:uid="{75C0531E-EFC4-437B-9467-39439BB94815}"/>
    <hyperlink ref="R5:S5" r:id="rId3" display="Countable items" xr:uid="{4E2B20D6-CF98-48EB-A16F-5838862FF7E6}"/>
    <hyperlink ref="Y5:Z5" r:id="rId4" display="Countable items" xr:uid="{C4AEF9BB-6BD4-49E1-85B2-35ED6DF674DF}"/>
    <hyperlink ref="AF5:AG5" r:id="rId5" display="Countable items" xr:uid="{ED90064D-CBAF-4D78-B450-8B58838BF127}"/>
    <hyperlink ref="AM5:AN5" r:id="rId6" display="Countable items" xr:uid="{0E00435F-CD86-4A6D-8806-EFA6EA0905FA}"/>
  </hyperlinks>
  <pageMargins left="0.70866141732283472" right="0.70866141732283472" top="0.74803149606299213" bottom="0.74803149606299213" header="0.31496062992125984" footer="0.31496062992125984"/>
  <pageSetup paperSize="9" scale="18"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Export_PDF.Export_PDF">
                <anchor moveWithCells="1" sizeWithCells="1">
                  <from>
                    <xdr:col>41</xdr:col>
                    <xdr:colOff>243840</xdr:colOff>
                    <xdr:row>0</xdr:row>
                    <xdr:rowOff>144780</xdr:rowOff>
                  </from>
                  <to>
                    <xdr:col>44</xdr:col>
                    <xdr:colOff>38100</xdr:colOff>
                    <xdr:row>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481CD56-0868-400D-B84E-A234635C8B4C}">
          <x14:formula1>
            <xm:f>Sheet1!$A$1:$A$4</xm:f>
          </x14:formula1>
          <xm:sqref>N25:P25 U25:W25 AI46:AK46 G9:I9 AB25:AD25 G25:I25 AI23:AK23 N44:P44 U46:W46 AB46:AD46 AB48:AE48 G46:I46 N51:P51 U51:W51 AB51:AD51 AI53:AK53 G59:I59 AI73:AK73 N59:P59 U59:W59 AB59:AD59 G55:I55 N80:P80 U80:W80 AB80:AD80 AI80:AK80 G66:I66 G78:I78 AI66:AK66 N78:P78 U78:W78 AB78:AD78 AI13:AK15 AB13:AD15 U13:W15 G37:I39 G23:I23 N23:P23 U23:W23 AB23:AD23 AL44:AN44 N46:P46 U53:W53 AB53:AD53 AI51:AK51 N53:P53 AB55:AD55 N75:P75 U61:Z61 AB61:AG61 AI83:AK83 G80:I80 U75:W75 AB75:AD75 AI75:AK75 G51:I51 G68:I68 G73:I73 G85:I85 N73:P73 U73:W73 AB73:AD73 N85:P85 U85:W85 AB85:AD85 AI85:AK85 G75:I75 AI78:AK78 N55:P55 U55:W55 AI9:AK9 N61:S61 AI48:AL48 G53:I53 G48:J48 AI59:AK59 N48:Q48 U48:X48 G44:I44 G29:AK29 U9:W9 AB9:AD9 AI33:AK33 U83:W83 U35:W35 G83:I83 G13:I15 AB35:AD35 N35:P35 G33:I33 N33:P33 AB37:AD39 AI35:AK35 G35:I35 N68:P68 U68:W68 AB68:AD68 AI68:AK68 G61:I61 U66:W66 AI55:AK55 N66:P66 AB66:AD66 N17:P17 U17:W17 AB17:AD17 AB83:AD83 G17:I17 AI17:AK17 N83:P83 U37:W39 AI37:AK39 N11:P11 U19:W19 N37:P39 G27:AK27 U33:W33 N13:P15 N9:P9 G11:I11 X44:Z44 U11:W11 AB11:AD11 AE44:AG44 AB33:AD33 G31:AK31 AI25:AK25 AI11:AK11 AI61:AK61</xm:sqref>
        </x14:dataValidation>
        <x14:dataValidation type="list" allowBlank="1" showInputMessage="1" showErrorMessage="1" xr:uid="{EFD7C31E-9510-419F-9A9C-50763B27BAA8}">
          <x14:formula1>
            <xm:f>Sheet1!$A$2:$A$4</xm:f>
          </x14:formula1>
          <xm:sqref>G63:AN63 J57:M57 AI77:AK77 G57:I61 G77:I77 N77:P77 U77:W77 AB77:AD77 N57:P61 Q61:T61 Q57:T57 U57:W61 X61:AA61 X57:AA57 AB57:AD61 AE61:AH61 AE57:AH57 AI57:AK61 AL57:AN57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DED7D-867D-41DD-AFDE-1AAA7F4CE553}">
  <sheetPr codeName="Sheet4"/>
  <dimension ref="A2:A4"/>
  <sheetViews>
    <sheetView workbookViewId="0">
      <selection activeCell="F20" sqref="F20"/>
    </sheetView>
  </sheetViews>
  <sheetFormatPr defaultRowHeight="14.45"/>
  <cols>
    <col min="1" max="1" width="21.7109375" customWidth="1"/>
  </cols>
  <sheetData>
    <row r="2" spans="1:1">
      <c r="A2" t="s">
        <v>122</v>
      </c>
    </row>
    <row r="3" spans="1:1">
      <c r="A3" t="s">
        <v>123</v>
      </c>
    </row>
    <row r="4" spans="1:1">
      <c r="A4" t="s">
        <v>124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05B2-46E3-4AD7-B4C2-78FEF4BF2C00}">
  <sheetPr codeName="Sheet2">
    <pageSetUpPr fitToPage="1"/>
  </sheetPr>
  <dimension ref="A1:AW94"/>
  <sheetViews>
    <sheetView zoomScale="55" zoomScaleNormal="55" workbookViewId="0">
      <pane xSplit="5" ySplit="6" topLeftCell="F7" activePane="bottomRight" state="frozen"/>
      <selection pane="bottomRight" activeCell="A55" sqref="A55:E56"/>
      <selection pane="bottomLeft" activeCell="BA19" sqref="BA19"/>
      <selection pane="topRight" activeCell="BA19" sqref="BA19"/>
    </sheetView>
  </sheetViews>
  <sheetFormatPr defaultRowHeight="14.45"/>
  <cols>
    <col min="1" max="4" width="13" customWidth="1"/>
    <col min="5" max="5" width="10.28515625" customWidth="1"/>
    <col min="6" max="6" width="4.85546875" customWidth="1"/>
    <col min="7" max="7" width="7.7109375" customWidth="1"/>
    <col min="8" max="8" width="20.140625" customWidth="1"/>
    <col min="9" max="9" width="18.7109375" customWidth="1"/>
    <col min="10" max="10" width="2.7109375" customWidth="1"/>
    <col min="11" max="12" width="8.42578125" customWidth="1"/>
    <col min="13" max="13" width="2.7109375" customWidth="1"/>
    <col min="14" max="14" width="7.7109375" customWidth="1"/>
    <col min="15" max="16" width="20.140625" customWidth="1"/>
    <col min="17" max="17" width="2.7109375" customWidth="1"/>
    <col min="18" max="19" width="8.42578125" customWidth="1"/>
    <col min="20" max="20" width="2.7109375" customWidth="1"/>
    <col min="21" max="21" width="7.7109375" customWidth="1"/>
    <col min="22" max="23" width="20.140625" customWidth="1"/>
    <col min="24" max="24" width="2.7109375" customWidth="1"/>
    <col min="25" max="26" width="8.42578125" customWidth="1"/>
    <col min="27" max="27" width="2.7109375" customWidth="1"/>
    <col min="28" max="28" width="7.7109375" customWidth="1"/>
    <col min="29" max="30" width="20.140625" customWidth="1"/>
    <col min="31" max="31" width="2.7109375" customWidth="1"/>
    <col min="32" max="33" width="8.42578125" customWidth="1"/>
    <col min="34" max="34" width="2.7109375" customWidth="1"/>
    <col min="35" max="35" width="7.7109375" customWidth="1"/>
    <col min="36" max="37" width="20.140625" customWidth="1"/>
    <col min="38" max="38" width="2.7109375" customWidth="1"/>
    <col min="39" max="40" width="9" customWidth="1"/>
    <col min="41" max="41" width="2.7109375" customWidth="1"/>
    <col min="42" max="42" width="9.140625" bestFit="1" customWidth="1"/>
    <col min="43" max="44" width="19.7109375" customWidth="1"/>
    <col min="45" max="46" width="2.7109375" customWidth="1"/>
    <col min="47" max="48" width="15.140625" customWidth="1"/>
    <col min="49" max="49" width="2.7109375" customWidth="1"/>
  </cols>
  <sheetData>
    <row r="1" spans="1:49" ht="15.6" customHeight="1" thickTop="1">
      <c r="A1" s="224" t="s">
        <v>0</v>
      </c>
      <c r="B1" s="225"/>
      <c r="C1" s="225"/>
      <c r="D1" s="225"/>
      <c r="E1" s="225"/>
      <c r="F1" s="308" t="s">
        <v>1</v>
      </c>
      <c r="G1" s="308"/>
      <c r="H1" s="1">
        <f>'Crucial Processes &amp; Rotationals'!H1</f>
        <v>2025</v>
      </c>
      <c r="I1" s="312" t="s">
        <v>2</v>
      </c>
      <c r="J1" s="312"/>
      <c r="K1" s="312"/>
      <c r="L1" s="312"/>
      <c r="M1" s="312"/>
      <c r="N1" s="312"/>
      <c r="O1" s="1">
        <f>'Crucial Processes &amp; Rotationals'!O1</f>
        <v>27</v>
      </c>
      <c r="P1" s="5"/>
      <c r="Q1" s="5"/>
      <c r="R1" s="5"/>
      <c r="S1" s="5"/>
      <c r="T1" s="5"/>
      <c r="U1" s="22"/>
      <c r="V1" s="23"/>
      <c r="W1" s="23"/>
      <c r="X1" s="5"/>
      <c r="Y1" s="313" t="s">
        <v>125</v>
      </c>
      <c r="Z1" s="313"/>
      <c r="AA1" s="313"/>
      <c r="AB1" s="313"/>
      <c r="AC1" s="313"/>
      <c r="AD1" s="313"/>
      <c r="AE1" s="313"/>
      <c r="AF1" s="313"/>
      <c r="AG1" s="313"/>
      <c r="AH1" s="313"/>
      <c r="AI1" s="313"/>
      <c r="AJ1" s="313"/>
      <c r="AK1" s="12"/>
      <c r="AL1" s="5"/>
      <c r="AM1" s="12"/>
      <c r="AN1" s="12"/>
      <c r="AT1" s="97"/>
      <c r="AU1" s="98"/>
      <c r="AV1" s="98"/>
      <c r="AW1" s="99"/>
    </row>
    <row r="2" spans="1:49" ht="8.25" customHeight="1">
      <c r="A2" s="226"/>
      <c r="B2" s="227"/>
      <c r="C2" s="227"/>
      <c r="D2" s="227"/>
      <c r="E2" s="227"/>
      <c r="F2" s="21"/>
      <c r="G2" s="309" t="str">
        <f>TEXT(G4,"dddd")</f>
        <v>Monday</v>
      </c>
      <c r="H2" s="309"/>
      <c r="I2" s="72"/>
      <c r="J2" s="5"/>
      <c r="K2" s="5"/>
      <c r="L2" s="5"/>
      <c r="M2" s="5"/>
      <c r="N2" s="314" t="str">
        <f>TEXT(N4,"dddd")</f>
        <v>Tuesday</v>
      </c>
      <c r="O2" s="314"/>
      <c r="P2" s="315"/>
      <c r="Q2" s="5"/>
      <c r="R2" s="5"/>
      <c r="S2" s="5"/>
      <c r="T2" s="5"/>
      <c r="U2" s="316" t="str">
        <f>TEXT(U4,"dddd")</f>
        <v>Wednesday</v>
      </c>
      <c r="V2" s="316"/>
      <c r="W2" s="315"/>
      <c r="X2" s="5"/>
      <c r="Y2" s="5"/>
      <c r="Z2" s="5"/>
      <c r="AA2" s="5"/>
      <c r="AB2" s="317" t="e">
        <f>TEXT(AB4,"dddd")</f>
        <v>#NUM!</v>
      </c>
      <c r="AC2" s="317"/>
      <c r="AD2" s="315"/>
      <c r="AE2" s="5"/>
      <c r="AF2" s="5"/>
      <c r="AG2" s="5"/>
      <c r="AH2" s="5"/>
      <c r="AI2" s="318" t="str">
        <f>TEXT(AI4,"dddd")</f>
        <v>Friday</v>
      </c>
      <c r="AJ2" s="318"/>
      <c r="AK2" s="319"/>
      <c r="AL2" s="5"/>
      <c r="AM2" s="5"/>
      <c r="AN2" s="5"/>
      <c r="AT2" s="100"/>
      <c r="AW2" s="101"/>
    </row>
    <row r="3" spans="1:49" ht="15" customHeight="1" thickBot="1">
      <c r="A3" s="226"/>
      <c r="B3" s="227"/>
      <c r="C3" s="227"/>
      <c r="D3" s="227"/>
      <c r="E3" s="227"/>
      <c r="F3" s="21"/>
      <c r="G3" s="309"/>
      <c r="H3" s="309"/>
      <c r="I3" s="73"/>
      <c r="J3" s="5"/>
      <c r="K3" s="5"/>
      <c r="L3" s="5"/>
      <c r="M3" s="5"/>
      <c r="N3" s="314"/>
      <c r="O3" s="314"/>
      <c r="P3" s="315"/>
      <c r="Q3" s="5"/>
      <c r="R3" s="5"/>
      <c r="S3" s="5"/>
      <c r="T3" s="5"/>
      <c r="U3" s="316"/>
      <c r="V3" s="316"/>
      <c r="W3" s="315"/>
      <c r="X3" s="5"/>
      <c r="Y3" s="5"/>
      <c r="Z3" s="5"/>
      <c r="AA3" s="5"/>
      <c r="AB3" s="317"/>
      <c r="AC3" s="317"/>
      <c r="AD3" s="315"/>
      <c r="AE3" s="5"/>
      <c r="AF3" s="5"/>
      <c r="AG3" s="5"/>
      <c r="AH3" s="5"/>
      <c r="AI3" s="318"/>
      <c r="AJ3" s="318"/>
      <c r="AK3" s="319"/>
      <c r="AL3" s="5"/>
      <c r="AM3" s="5"/>
      <c r="AN3" s="5"/>
      <c r="AT3" s="100"/>
      <c r="AW3" s="101"/>
    </row>
    <row r="4" spans="1:49">
      <c r="A4" s="310" t="s">
        <v>4</v>
      </c>
      <c r="B4" s="310"/>
      <c r="C4" s="310"/>
      <c r="D4" s="310" t="s">
        <v>126</v>
      </c>
      <c r="E4" s="310"/>
      <c r="F4" s="21"/>
      <c r="G4" s="302">
        <f>DATE(H1, 1, -2) - WEEKDAY(DATE(H1, 1, 3)) +O1* 7</f>
        <v>45838</v>
      </c>
      <c r="H4" s="302"/>
      <c r="I4" s="73"/>
      <c r="J4" s="5"/>
      <c r="K4" s="5"/>
      <c r="L4" s="5"/>
      <c r="M4" s="5"/>
      <c r="N4" s="302">
        <f>DATE(H1, 1, -2) - WEEKDAY(DATE(H1, 1, 3)) +O1 * 7+1</f>
        <v>45839</v>
      </c>
      <c r="O4" s="302"/>
      <c r="P4" s="315"/>
      <c r="Q4" s="5"/>
      <c r="R4" s="5"/>
      <c r="S4" s="5"/>
      <c r="T4" s="5"/>
      <c r="U4" s="302">
        <f>DATE(H1, 1, -2) - WEEKDAY(DATE(H1, 1, 3)) +O1 * 7+2</f>
        <v>45840</v>
      </c>
      <c r="V4" s="302"/>
      <c r="W4" s="315"/>
      <c r="X4" s="5"/>
      <c r="Y4" s="5"/>
      <c r="Z4" s="5"/>
      <c r="AA4" s="5"/>
      <c r="AB4" s="302" t="e">
        <f>DATE(Q1, 1, -2) - WEEKDAY(DATE(Q1, 1, 3)) +U1 * 7+3</f>
        <v>#NUM!</v>
      </c>
      <c r="AC4" s="302"/>
      <c r="AD4" s="315"/>
      <c r="AE4" s="5"/>
      <c r="AF4" s="5"/>
      <c r="AG4" s="5"/>
      <c r="AH4" s="5"/>
      <c r="AI4" s="302">
        <f>DATE(H1, 1, -2) - WEEKDAY(DATE(H1, 1, 3)) +O1 * 7+4</f>
        <v>45842</v>
      </c>
      <c r="AJ4" s="302"/>
      <c r="AK4" s="319"/>
      <c r="AL4" s="5"/>
      <c r="AM4" s="5"/>
      <c r="AN4" s="5"/>
      <c r="AT4" s="100"/>
      <c r="AW4" s="101"/>
    </row>
    <row r="5" spans="1:49">
      <c r="A5" s="311"/>
      <c r="B5" s="311"/>
      <c r="C5" s="311"/>
      <c r="D5" s="311"/>
      <c r="E5" s="311"/>
      <c r="F5" s="21"/>
      <c r="G5" s="250" t="s">
        <v>6</v>
      </c>
      <c r="H5" s="250"/>
      <c r="I5" s="24">
        <f>IF(COUNTA(G8:G89)=0,"No values",(COUNTIF(G8:G89,"✓")+COUNTIF(G8:G89,"||"))/COUNTA(G8:G89)*2)</f>
        <v>1</v>
      </c>
      <c r="J5" s="24"/>
      <c r="K5" s="278" t="s">
        <v>7</v>
      </c>
      <c r="L5" s="278"/>
      <c r="M5" s="4"/>
      <c r="N5" s="248" t="s">
        <v>6</v>
      </c>
      <c r="O5" s="248"/>
      <c r="P5" s="24">
        <f>IF(COUNTA(N8:N89)=0,"No values",(COUNTIF(N8:N89,"✓")+COUNTIF(N8:N89,"||"))/COUNTA(N8:N89)*2)</f>
        <v>1</v>
      </c>
      <c r="Q5" s="24"/>
      <c r="R5" s="278" t="s">
        <v>7</v>
      </c>
      <c r="S5" s="278"/>
      <c r="T5" s="2"/>
      <c r="U5" s="249" t="s">
        <v>6</v>
      </c>
      <c r="V5" s="249"/>
      <c r="W5" s="24">
        <f>IF(COUNTA(U8:U89)=0,"No values",(COUNTIF(U8:U89,"✓")+COUNTIF(U8:U89,"||"))/COUNTA(U8:U89)*2)</f>
        <v>1</v>
      </c>
      <c r="X5" s="24"/>
      <c r="Y5" s="278" t="s">
        <v>7</v>
      </c>
      <c r="Z5" s="278"/>
      <c r="AA5" s="2"/>
      <c r="AB5" s="246" t="s">
        <v>6</v>
      </c>
      <c r="AC5" s="246"/>
      <c r="AD5" s="24">
        <f>IF(COUNTA(AB8:AB89)=0,"No values",(COUNTIF(AB8:AB89,"✓")+COUNTIF(AB8:AB89,"||"))/COUNTA(AB8:AB89)*2)</f>
        <v>1</v>
      </c>
      <c r="AE5" s="24"/>
      <c r="AF5" s="278" t="s">
        <v>7</v>
      </c>
      <c r="AG5" s="278"/>
      <c r="AH5" s="2"/>
      <c r="AI5" s="247" t="s">
        <v>6</v>
      </c>
      <c r="AJ5" s="247"/>
      <c r="AK5" s="24">
        <f>IF(COUNTA(AI8:AI89)=0,"No values",(COUNTIF(AI8:AI89,"✓")+COUNTIF(AI8:AI89,"||"))/COUNTA(AI8:AI89)*2)</f>
        <v>1</v>
      </c>
      <c r="AL5" s="24"/>
      <c r="AM5" s="278" t="s">
        <v>7</v>
      </c>
      <c r="AN5" s="278"/>
      <c r="AT5" s="100"/>
      <c r="AW5" s="101"/>
    </row>
    <row r="6" spans="1:49" ht="15" thickBot="1">
      <c r="A6" s="27"/>
      <c r="B6" s="27"/>
      <c r="C6" s="27"/>
      <c r="D6" s="27"/>
      <c r="E6" s="27"/>
      <c r="F6" s="27"/>
      <c r="G6" s="27"/>
      <c r="H6" s="27"/>
      <c r="I6" s="27"/>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94"/>
      <c r="AP6" s="95"/>
      <c r="AQ6" s="95"/>
      <c r="AR6" s="96"/>
      <c r="AS6" s="96"/>
      <c r="AT6" s="102"/>
      <c r="AU6" s="103"/>
      <c r="AV6" s="103"/>
      <c r="AW6" s="106"/>
    </row>
    <row r="7" spans="1:49" ht="19.5" customHeight="1" thickTop="1">
      <c r="A7" s="306" t="s">
        <v>127</v>
      </c>
      <c r="B7" s="306"/>
      <c r="C7" s="306"/>
      <c r="D7" s="306"/>
      <c r="E7" s="306"/>
      <c r="F7" s="7"/>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299" t="s">
        <v>128</v>
      </c>
      <c r="AQ7" s="299"/>
      <c r="AR7" s="299"/>
      <c r="AS7" s="18"/>
      <c r="AT7" s="104"/>
      <c r="AU7" s="290" t="s">
        <v>9</v>
      </c>
      <c r="AV7" s="290"/>
      <c r="AW7" s="105"/>
    </row>
    <row r="8" spans="1:49">
      <c r="A8" s="307"/>
      <c r="B8" s="307"/>
      <c r="C8" s="307"/>
      <c r="D8" s="307"/>
      <c r="E8" s="307"/>
      <c r="F8" s="7"/>
      <c r="G8" s="7"/>
      <c r="H8" s="7"/>
      <c r="I8" s="7"/>
      <c r="J8" s="7"/>
      <c r="K8" s="305"/>
      <c r="L8" s="305"/>
      <c r="M8" s="7"/>
      <c r="N8" s="7"/>
      <c r="O8" s="7"/>
      <c r="P8" s="7"/>
      <c r="Q8" s="7"/>
      <c r="R8" s="305"/>
      <c r="S8" s="305"/>
      <c r="T8" s="7"/>
      <c r="U8" s="7"/>
      <c r="V8" s="7"/>
      <c r="W8" s="7"/>
      <c r="X8" s="7"/>
      <c r="Y8" s="305"/>
      <c r="Z8" s="305"/>
      <c r="AA8" s="7"/>
      <c r="AB8" s="7"/>
      <c r="AC8" s="7"/>
      <c r="AD8" s="7"/>
      <c r="AE8" s="7"/>
      <c r="AF8" s="305"/>
      <c r="AG8" s="305"/>
      <c r="AH8" s="7"/>
      <c r="AI8" s="7"/>
      <c r="AJ8" s="7"/>
      <c r="AK8" s="7"/>
      <c r="AL8" s="7"/>
      <c r="AM8" s="305"/>
      <c r="AN8" s="305"/>
      <c r="AO8" s="7"/>
      <c r="AP8" s="299"/>
      <c r="AQ8" s="299"/>
      <c r="AR8" s="299"/>
      <c r="AS8" s="18"/>
      <c r="AT8" s="104"/>
      <c r="AU8" s="291"/>
      <c r="AV8" s="291"/>
      <c r="AW8" s="105"/>
    </row>
    <row r="9" spans="1:49">
      <c r="A9" s="303" t="s">
        <v>129</v>
      </c>
      <c r="B9" s="304"/>
      <c r="C9" s="304"/>
      <c r="D9" s="304"/>
      <c r="E9" s="304"/>
      <c r="F9" s="9"/>
      <c r="G9" s="3" t="s">
        <v>11</v>
      </c>
      <c r="H9" s="139" t="s">
        <v>130</v>
      </c>
      <c r="I9" s="139"/>
      <c r="J9" s="8"/>
      <c r="K9" s="139">
        <v>34</v>
      </c>
      <c r="L9" s="139"/>
      <c r="M9" s="8"/>
      <c r="N9" s="3" t="s">
        <v>11</v>
      </c>
      <c r="O9" s="139" t="s">
        <v>130</v>
      </c>
      <c r="P9" s="139"/>
      <c r="Q9" s="8"/>
      <c r="R9" s="139">
        <v>167</v>
      </c>
      <c r="S9" s="139"/>
      <c r="T9" s="8"/>
      <c r="U9" s="3" t="s">
        <v>11</v>
      </c>
      <c r="V9" s="139" t="s">
        <v>130</v>
      </c>
      <c r="W9" s="139"/>
      <c r="X9" s="8"/>
      <c r="Y9" s="139">
        <v>11</v>
      </c>
      <c r="Z9" s="139"/>
      <c r="AA9" s="8"/>
      <c r="AB9" s="3" t="s">
        <v>11</v>
      </c>
      <c r="AC9" s="139" t="s">
        <v>130</v>
      </c>
      <c r="AD9" s="139"/>
      <c r="AE9" s="8"/>
      <c r="AF9" s="139">
        <v>36</v>
      </c>
      <c r="AG9" s="139"/>
      <c r="AH9" s="9"/>
      <c r="AI9" s="3" t="s">
        <v>11</v>
      </c>
      <c r="AJ9" s="139" t="s">
        <v>130</v>
      </c>
      <c r="AK9" s="139"/>
      <c r="AL9" s="8"/>
      <c r="AM9" s="139">
        <v>7</v>
      </c>
      <c r="AN9" s="139"/>
      <c r="AO9" s="8"/>
      <c r="AP9" s="3" t="s">
        <v>11</v>
      </c>
      <c r="AQ9" s="139" t="s">
        <v>130</v>
      </c>
      <c r="AR9" s="139"/>
      <c r="AS9" s="9"/>
      <c r="AT9" s="83"/>
      <c r="AU9" s="141">
        <f>K9+R9+Y9+AF9+AM9</f>
        <v>255</v>
      </c>
      <c r="AV9" s="142"/>
      <c r="AW9" s="46"/>
    </row>
    <row r="10" spans="1:49">
      <c r="A10" s="303"/>
      <c r="B10" s="304"/>
      <c r="C10" s="304"/>
      <c r="D10" s="304"/>
      <c r="E10" s="304"/>
      <c r="F10" s="9"/>
      <c r="G10" s="155" t="s">
        <v>131</v>
      </c>
      <c r="H10" s="149"/>
      <c r="I10" s="149"/>
      <c r="J10" s="8"/>
      <c r="K10" s="149"/>
      <c r="L10" s="149"/>
      <c r="M10" s="8"/>
      <c r="N10" s="155">
        <v>45664.70140046296</v>
      </c>
      <c r="O10" s="149"/>
      <c r="P10" s="149"/>
      <c r="Q10" s="8"/>
      <c r="R10" s="149"/>
      <c r="S10" s="149"/>
      <c r="T10" s="8"/>
      <c r="U10" s="155">
        <v>45695.689837962964</v>
      </c>
      <c r="V10" s="149"/>
      <c r="W10" s="149"/>
      <c r="X10" s="8"/>
      <c r="Y10" s="149"/>
      <c r="Z10" s="149"/>
      <c r="AA10" s="8"/>
      <c r="AB10" s="155">
        <v>45723.69809027778</v>
      </c>
      <c r="AC10" s="149"/>
      <c r="AD10" s="149"/>
      <c r="AE10" s="8"/>
      <c r="AF10" s="149"/>
      <c r="AG10" s="149"/>
      <c r="AH10" s="9"/>
      <c r="AI10" s="155">
        <v>45754.67150462963</v>
      </c>
      <c r="AJ10" s="149"/>
      <c r="AK10" s="149"/>
      <c r="AL10" s="8"/>
      <c r="AM10" s="149"/>
      <c r="AN10" s="149"/>
      <c r="AO10" s="8"/>
      <c r="AP10" s="149" t="s">
        <v>132</v>
      </c>
      <c r="AQ10" s="149"/>
      <c r="AR10" s="149"/>
      <c r="AS10" s="9"/>
      <c r="AT10" s="83"/>
      <c r="AU10" s="9"/>
      <c r="AV10" s="9"/>
      <c r="AW10" s="46"/>
    </row>
    <row r="11" spans="1:49">
      <c r="A11" s="300" t="s">
        <v>133</v>
      </c>
      <c r="B11" s="301"/>
      <c r="C11" s="301"/>
      <c r="D11" s="301"/>
      <c r="E11" s="301"/>
      <c r="F11" s="7"/>
      <c r="G11" s="3" t="s">
        <v>11</v>
      </c>
      <c r="H11" s="139" t="s">
        <v>130</v>
      </c>
      <c r="I11" s="139"/>
      <c r="J11" s="6"/>
      <c r="K11" s="139">
        <v>198</v>
      </c>
      <c r="L11" s="139"/>
      <c r="M11" s="6"/>
      <c r="N11" s="3" t="s">
        <v>11</v>
      </c>
      <c r="O11" s="139" t="s">
        <v>130</v>
      </c>
      <c r="P11" s="139"/>
      <c r="Q11" s="6"/>
      <c r="R11" s="139">
        <v>0</v>
      </c>
      <c r="S11" s="139"/>
      <c r="T11" s="6"/>
      <c r="U11" s="3" t="s">
        <v>11</v>
      </c>
      <c r="V11" s="139" t="s">
        <v>130</v>
      </c>
      <c r="W11" s="139"/>
      <c r="X11" s="6"/>
      <c r="Y11" s="139">
        <v>0</v>
      </c>
      <c r="Z11" s="139"/>
      <c r="AA11" s="6"/>
      <c r="AB11" s="3" t="s">
        <v>11</v>
      </c>
      <c r="AC11" s="139" t="s">
        <v>130</v>
      </c>
      <c r="AD11" s="139"/>
      <c r="AE11" s="6"/>
      <c r="AF11" s="139">
        <v>0</v>
      </c>
      <c r="AG11" s="139"/>
      <c r="AH11" s="7"/>
      <c r="AI11" s="3" t="s">
        <v>11</v>
      </c>
      <c r="AJ11" s="139" t="s">
        <v>130</v>
      </c>
      <c r="AK11" s="139"/>
      <c r="AL11" s="6"/>
      <c r="AM11" s="139">
        <v>0</v>
      </c>
      <c r="AN11" s="139"/>
      <c r="AO11" s="6"/>
      <c r="AP11" s="3" t="s">
        <v>11</v>
      </c>
      <c r="AQ11" s="139" t="s">
        <v>130</v>
      </c>
      <c r="AR11" s="139"/>
      <c r="AS11" s="7"/>
      <c r="AT11" s="84"/>
      <c r="AU11" s="141">
        <f>K11+R11+Y11+AF11+AM11</f>
        <v>198</v>
      </c>
      <c r="AV11" s="142"/>
      <c r="AW11" s="48"/>
    </row>
    <row r="12" spans="1:49">
      <c r="A12" s="300"/>
      <c r="B12" s="301"/>
      <c r="C12" s="301"/>
      <c r="D12" s="301"/>
      <c r="E12" s="301"/>
      <c r="F12" s="7"/>
      <c r="G12" s="147" t="s">
        <v>134</v>
      </c>
      <c r="H12" s="148"/>
      <c r="I12" s="148"/>
      <c r="J12" s="6"/>
      <c r="K12" s="140"/>
      <c r="L12" s="140"/>
      <c r="M12" s="6"/>
      <c r="N12" s="147">
        <v>45664.701423611114</v>
      </c>
      <c r="O12" s="148"/>
      <c r="P12" s="148"/>
      <c r="Q12" s="6"/>
      <c r="R12" s="140"/>
      <c r="S12" s="140"/>
      <c r="T12" s="6"/>
      <c r="U12" s="147">
        <v>45695.68986111111</v>
      </c>
      <c r="V12" s="148"/>
      <c r="W12" s="148"/>
      <c r="X12" s="6"/>
      <c r="Y12" s="140"/>
      <c r="Z12" s="140"/>
      <c r="AA12" s="6"/>
      <c r="AB12" s="147">
        <v>45723.698113425926</v>
      </c>
      <c r="AC12" s="148"/>
      <c r="AD12" s="148"/>
      <c r="AE12" s="6"/>
      <c r="AF12" s="140"/>
      <c r="AG12" s="140"/>
      <c r="AH12" s="7"/>
      <c r="AI12" s="147">
        <v>45754.671516203707</v>
      </c>
      <c r="AJ12" s="148"/>
      <c r="AK12" s="148"/>
      <c r="AL12" s="6"/>
      <c r="AM12" s="140"/>
      <c r="AN12" s="140"/>
      <c r="AO12" s="6"/>
      <c r="AP12" s="148" t="s">
        <v>135</v>
      </c>
      <c r="AQ12" s="148"/>
      <c r="AR12" s="148"/>
      <c r="AS12" s="7"/>
      <c r="AT12" s="84"/>
      <c r="AU12" s="47"/>
      <c r="AV12" s="47"/>
      <c r="AW12" s="48"/>
    </row>
    <row r="13" spans="1:49">
      <c r="A13" s="303" t="s">
        <v>136</v>
      </c>
      <c r="B13" s="304"/>
      <c r="C13" s="304"/>
      <c r="D13" s="304"/>
      <c r="E13" s="304"/>
      <c r="F13" s="9"/>
      <c r="G13" s="3" t="s">
        <v>11</v>
      </c>
      <c r="H13" s="139" t="s">
        <v>130</v>
      </c>
      <c r="I13" s="139"/>
      <c r="J13" s="8"/>
      <c r="K13" s="139">
        <v>0</v>
      </c>
      <c r="L13" s="139"/>
      <c r="M13" s="8"/>
      <c r="N13" s="3" t="s">
        <v>11</v>
      </c>
      <c r="O13" s="139" t="s">
        <v>130</v>
      </c>
      <c r="P13" s="139"/>
      <c r="Q13" s="8"/>
      <c r="R13" s="139">
        <v>0</v>
      </c>
      <c r="S13" s="139"/>
      <c r="T13" s="8"/>
      <c r="U13" s="3" t="s">
        <v>11</v>
      </c>
      <c r="V13" s="139" t="s">
        <v>130</v>
      </c>
      <c r="W13" s="139"/>
      <c r="X13" s="8"/>
      <c r="Y13" s="139">
        <v>0</v>
      </c>
      <c r="Z13" s="139"/>
      <c r="AA13" s="8"/>
      <c r="AB13" s="3" t="s">
        <v>11</v>
      </c>
      <c r="AC13" s="139" t="s">
        <v>130</v>
      </c>
      <c r="AD13" s="139"/>
      <c r="AE13" s="8"/>
      <c r="AF13" s="139">
        <v>0</v>
      </c>
      <c r="AG13" s="139"/>
      <c r="AH13" s="9"/>
      <c r="AI13" s="3" t="s">
        <v>11</v>
      </c>
      <c r="AJ13" s="139" t="s">
        <v>130</v>
      </c>
      <c r="AK13" s="139"/>
      <c r="AL13" s="8"/>
      <c r="AM13" s="139">
        <v>0</v>
      </c>
      <c r="AN13" s="139"/>
      <c r="AO13" s="8"/>
      <c r="AP13" s="3" t="s">
        <v>11</v>
      </c>
      <c r="AQ13" s="139" t="s">
        <v>130</v>
      </c>
      <c r="AR13" s="139"/>
      <c r="AS13" s="9"/>
      <c r="AT13" s="83"/>
      <c r="AU13" s="141">
        <f>K13+R13+Y13+AF13+AM13</f>
        <v>0</v>
      </c>
      <c r="AV13" s="142"/>
      <c r="AW13" s="46"/>
    </row>
    <row r="14" spans="1:49">
      <c r="A14" s="303"/>
      <c r="B14" s="304"/>
      <c r="C14" s="304"/>
      <c r="D14" s="304"/>
      <c r="E14" s="304"/>
      <c r="F14" s="9"/>
      <c r="G14" s="149" t="s">
        <v>137</v>
      </c>
      <c r="H14" s="149"/>
      <c r="I14" s="149"/>
      <c r="J14" s="8"/>
      <c r="K14" s="149"/>
      <c r="L14" s="149"/>
      <c r="M14" s="8"/>
      <c r="N14" s="155">
        <v>45664.70144675926</v>
      </c>
      <c r="O14" s="149"/>
      <c r="P14" s="149"/>
      <c r="Q14" s="8"/>
      <c r="R14" s="149"/>
      <c r="S14" s="149"/>
      <c r="T14" s="8"/>
      <c r="U14" s="155">
        <v>45695.68990740741</v>
      </c>
      <c r="V14" s="149"/>
      <c r="W14" s="149"/>
      <c r="X14" s="8"/>
      <c r="Y14" s="149"/>
      <c r="Z14" s="149"/>
      <c r="AA14" s="8"/>
      <c r="AB14" s="155">
        <v>45723.698125000003</v>
      </c>
      <c r="AC14" s="149"/>
      <c r="AD14" s="149"/>
      <c r="AE14" s="8"/>
      <c r="AF14" s="149"/>
      <c r="AG14" s="149"/>
      <c r="AH14" s="9"/>
      <c r="AI14" s="155">
        <v>45754.671527777777</v>
      </c>
      <c r="AJ14" s="149"/>
      <c r="AK14" s="149"/>
      <c r="AL14" s="8"/>
      <c r="AM14" s="149"/>
      <c r="AN14" s="149"/>
      <c r="AO14" s="8"/>
      <c r="AP14" s="149" t="s">
        <v>138</v>
      </c>
      <c r="AQ14" s="149"/>
      <c r="AR14" s="149"/>
      <c r="AS14" s="9"/>
      <c r="AT14" s="83"/>
      <c r="AU14" s="9"/>
      <c r="AV14" s="9"/>
      <c r="AW14" s="46"/>
    </row>
    <row r="15" spans="1:49">
      <c r="A15" s="300" t="s">
        <v>139</v>
      </c>
      <c r="B15" s="301"/>
      <c r="C15" s="301"/>
      <c r="D15" s="301"/>
      <c r="E15" s="301"/>
      <c r="F15" s="7"/>
      <c r="G15" s="3" t="s">
        <v>11</v>
      </c>
      <c r="H15" s="139" t="s">
        <v>130</v>
      </c>
      <c r="I15" s="139"/>
      <c r="J15" s="6"/>
      <c r="K15" s="139">
        <v>0</v>
      </c>
      <c r="L15" s="139"/>
      <c r="M15" s="6"/>
      <c r="N15" s="3" t="s">
        <v>11</v>
      </c>
      <c r="O15" s="139" t="s">
        <v>130</v>
      </c>
      <c r="P15" s="139"/>
      <c r="Q15" s="6"/>
      <c r="R15" s="139">
        <v>1</v>
      </c>
      <c r="S15" s="139"/>
      <c r="T15" s="6"/>
      <c r="U15" s="3" t="s">
        <v>11</v>
      </c>
      <c r="V15" s="139" t="s">
        <v>130</v>
      </c>
      <c r="W15" s="139"/>
      <c r="X15" s="6"/>
      <c r="Y15" s="139">
        <v>0</v>
      </c>
      <c r="Z15" s="139"/>
      <c r="AA15" s="6"/>
      <c r="AB15" s="3" t="s">
        <v>11</v>
      </c>
      <c r="AC15" s="139" t="s">
        <v>130</v>
      </c>
      <c r="AD15" s="139"/>
      <c r="AE15" s="6"/>
      <c r="AF15" s="139">
        <v>0</v>
      </c>
      <c r="AG15" s="139"/>
      <c r="AH15" s="7"/>
      <c r="AI15" s="3" t="s">
        <v>11</v>
      </c>
      <c r="AJ15" s="139" t="s">
        <v>130</v>
      </c>
      <c r="AK15" s="139"/>
      <c r="AL15" s="6"/>
      <c r="AM15" s="139">
        <v>0</v>
      </c>
      <c r="AN15" s="139"/>
      <c r="AO15" s="6"/>
      <c r="AP15" s="3" t="s">
        <v>11</v>
      </c>
      <c r="AQ15" s="139" t="s">
        <v>130</v>
      </c>
      <c r="AR15" s="139"/>
      <c r="AS15" s="7"/>
      <c r="AT15" s="84"/>
      <c r="AU15" s="141">
        <f>K15+R15+Y15+AF15+AM15</f>
        <v>1</v>
      </c>
      <c r="AV15" s="142"/>
      <c r="AW15" s="48"/>
    </row>
    <row r="16" spans="1:49">
      <c r="A16" s="300"/>
      <c r="B16" s="301"/>
      <c r="C16" s="301"/>
      <c r="D16" s="301"/>
      <c r="E16" s="301"/>
      <c r="F16" s="7"/>
      <c r="G16" s="148" t="s">
        <v>140</v>
      </c>
      <c r="H16" s="148"/>
      <c r="I16" s="148"/>
      <c r="J16" s="6"/>
      <c r="K16" s="140"/>
      <c r="L16" s="140"/>
      <c r="M16" s="6"/>
      <c r="N16" s="147">
        <v>45664.701469907406</v>
      </c>
      <c r="O16" s="148"/>
      <c r="P16" s="148"/>
      <c r="Q16" s="6"/>
      <c r="R16" s="140"/>
      <c r="S16" s="140"/>
      <c r="T16" s="6"/>
      <c r="U16" s="147">
        <v>45695.689930555556</v>
      </c>
      <c r="V16" s="148"/>
      <c r="W16" s="148"/>
      <c r="X16" s="6"/>
      <c r="Y16" s="140"/>
      <c r="Z16" s="140"/>
      <c r="AA16" s="6"/>
      <c r="AB16" s="147">
        <v>45723.698136574072</v>
      </c>
      <c r="AC16" s="148"/>
      <c r="AD16" s="148"/>
      <c r="AE16" s="6"/>
      <c r="AF16" s="140"/>
      <c r="AG16" s="140"/>
      <c r="AH16" s="7"/>
      <c r="AI16" s="147">
        <v>45754.671550925923</v>
      </c>
      <c r="AJ16" s="148"/>
      <c r="AK16" s="148"/>
      <c r="AL16" s="6"/>
      <c r="AM16" s="140"/>
      <c r="AN16" s="140"/>
      <c r="AO16" s="6"/>
      <c r="AP16" s="148" t="s">
        <v>141</v>
      </c>
      <c r="AQ16" s="148"/>
      <c r="AR16" s="148"/>
      <c r="AS16" s="7"/>
      <c r="AT16" s="84"/>
      <c r="AU16" s="47"/>
      <c r="AV16" s="47"/>
      <c r="AW16" s="48"/>
    </row>
    <row r="17" spans="1:49">
      <c r="A17" s="303" t="s">
        <v>142</v>
      </c>
      <c r="B17" s="304"/>
      <c r="C17" s="304"/>
      <c r="D17" s="304"/>
      <c r="E17" s="304"/>
      <c r="F17" s="9"/>
      <c r="G17" s="3" t="s">
        <v>11</v>
      </c>
      <c r="H17" s="139" t="s">
        <v>130</v>
      </c>
      <c r="I17" s="139"/>
      <c r="J17" s="8"/>
      <c r="K17" s="139">
        <v>796</v>
      </c>
      <c r="L17" s="139"/>
      <c r="M17" s="8"/>
      <c r="N17" s="3" t="s">
        <v>11</v>
      </c>
      <c r="O17" s="139" t="s">
        <v>130</v>
      </c>
      <c r="P17" s="139"/>
      <c r="Q17" s="8"/>
      <c r="R17" s="139">
        <v>0</v>
      </c>
      <c r="S17" s="139"/>
      <c r="T17" s="8"/>
      <c r="U17" s="3" t="s">
        <v>11</v>
      </c>
      <c r="V17" s="139" t="s">
        <v>130</v>
      </c>
      <c r="W17" s="139"/>
      <c r="X17" s="8"/>
      <c r="Y17" s="139">
        <v>0</v>
      </c>
      <c r="Z17" s="139"/>
      <c r="AA17" s="8"/>
      <c r="AB17" s="3" t="s">
        <v>11</v>
      </c>
      <c r="AC17" s="139" t="s">
        <v>130</v>
      </c>
      <c r="AD17" s="139"/>
      <c r="AE17" s="8"/>
      <c r="AF17" s="139">
        <v>0</v>
      </c>
      <c r="AG17" s="139"/>
      <c r="AH17" s="9"/>
      <c r="AI17" s="3" t="s">
        <v>11</v>
      </c>
      <c r="AJ17" s="139" t="s">
        <v>130</v>
      </c>
      <c r="AK17" s="139"/>
      <c r="AL17" s="8"/>
      <c r="AM17" s="139">
        <v>0</v>
      </c>
      <c r="AN17" s="139"/>
      <c r="AO17" s="8"/>
      <c r="AP17" s="3" t="s">
        <v>11</v>
      </c>
      <c r="AQ17" s="139" t="s">
        <v>130</v>
      </c>
      <c r="AR17" s="139"/>
      <c r="AS17" s="9"/>
      <c r="AT17" s="83"/>
      <c r="AU17" s="141">
        <f>K17+R17+Y17+AF17+AM17</f>
        <v>796</v>
      </c>
      <c r="AV17" s="142"/>
      <c r="AW17" s="46"/>
    </row>
    <row r="18" spans="1:49">
      <c r="A18" s="303"/>
      <c r="B18" s="304"/>
      <c r="C18" s="304"/>
      <c r="D18" s="304"/>
      <c r="E18" s="304"/>
      <c r="F18" s="9"/>
      <c r="G18" s="149" t="s">
        <v>143</v>
      </c>
      <c r="H18" s="149"/>
      <c r="I18" s="149"/>
      <c r="J18" s="8"/>
      <c r="K18" s="149"/>
      <c r="L18" s="149"/>
      <c r="M18" s="8"/>
      <c r="N18" s="155">
        <v>45664.701493055552</v>
      </c>
      <c r="O18" s="149"/>
      <c r="P18" s="149"/>
      <c r="Q18" s="8"/>
      <c r="R18" s="149"/>
      <c r="S18" s="149"/>
      <c r="T18" s="8"/>
      <c r="U18" s="155">
        <v>45695.689953703702</v>
      </c>
      <c r="V18" s="149"/>
      <c r="W18" s="149"/>
      <c r="X18" s="8"/>
      <c r="Y18" s="149"/>
      <c r="Z18" s="149"/>
      <c r="AA18" s="8"/>
      <c r="AB18" s="155">
        <v>45723.698148148149</v>
      </c>
      <c r="AC18" s="149"/>
      <c r="AD18" s="149"/>
      <c r="AE18" s="8"/>
      <c r="AF18" s="149"/>
      <c r="AG18" s="149"/>
      <c r="AH18" s="9"/>
      <c r="AI18" s="155">
        <v>45754.6715625</v>
      </c>
      <c r="AJ18" s="149"/>
      <c r="AK18" s="149"/>
      <c r="AL18" s="8"/>
      <c r="AM18" s="149"/>
      <c r="AN18" s="149"/>
      <c r="AO18" s="8"/>
      <c r="AP18" s="149" t="s">
        <v>144</v>
      </c>
      <c r="AQ18" s="149"/>
      <c r="AR18" s="149"/>
      <c r="AS18" s="9"/>
      <c r="AT18" s="83"/>
      <c r="AU18" s="9"/>
      <c r="AV18" s="9"/>
      <c r="AW18" s="46"/>
    </row>
    <row r="19" spans="1:49">
      <c r="A19" s="300" t="s">
        <v>145</v>
      </c>
      <c r="B19" s="301"/>
      <c r="C19" s="301"/>
      <c r="D19" s="301"/>
      <c r="E19" s="301"/>
      <c r="F19" s="7"/>
      <c r="G19" s="3" t="s">
        <v>11</v>
      </c>
      <c r="H19" s="139" t="s">
        <v>130</v>
      </c>
      <c r="I19" s="139"/>
      <c r="J19" s="6"/>
      <c r="K19" s="139">
        <v>0</v>
      </c>
      <c r="L19" s="139"/>
      <c r="M19" s="6"/>
      <c r="N19" s="3" t="s">
        <v>11</v>
      </c>
      <c r="O19" s="139" t="s">
        <v>130</v>
      </c>
      <c r="P19" s="139"/>
      <c r="Q19" s="6"/>
      <c r="R19" s="139">
        <v>0</v>
      </c>
      <c r="S19" s="139"/>
      <c r="T19" s="6"/>
      <c r="U19" s="3" t="s">
        <v>11</v>
      </c>
      <c r="V19" s="139" t="s">
        <v>130</v>
      </c>
      <c r="W19" s="139"/>
      <c r="X19" s="6"/>
      <c r="Y19" s="139">
        <v>0</v>
      </c>
      <c r="Z19" s="139"/>
      <c r="AA19" s="6"/>
      <c r="AB19" s="3" t="s">
        <v>11</v>
      </c>
      <c r="AC19" s="139" t="s">
        <v>130</v>
      </c>
      <c r="AD19" s="139"/>
      <c r="AE19" s="6"/>
      <c r="AF19" s="139">
        <v>0</v>
      </c>
      <c r="AG19" s="139"/>
      <c r="AH19" s="7"/>
      <c r="AI19" s="3" t="s">
        <v>11</v>
      </c>
      <c r="AJ19" s="139" t="s">
        <v>130</v>
      </c>
      <c r="AK19" s="139"/>
      <c r="AL19" s="6"/>
      <c r="AM19" s="139">
        <v>0</v>
      </c>
      <c r="AN19" s="139"/>
      <c r="AO19" s="6"/>
      <c r="AP19" s="3" t="s">
        <v>11</v>
      </c>
      <c r="AQ19" s="139" t="s">
        <v>130</v>
      </c>
      <c r="AR19" s="139"/>
      <c r="AS19" s="7"/>
      <c r="AT19" s="84"/>
      <c r="AU19" s="141">
        <f>K19+R19+Y19+AF19+AM19</f>
        <v>0</v>
      </c>
      <c r="AV19" s="142"/>
      <c r="AW19" s="48"/>
    </row>
    <row r="20" spans="1:49">
      <c r="A20" s="300"/>
      <c r="B20" s="301"/>
      <c r="C20" s="301"/>
      <c r="D20" s="301"/>
      <c r="E20" s="301"/>
      <c r="F20" s="7"/>
      <c r="G20" s="148" t="s">
        <v>146</v>
      </c>
      <c r="H20" s="148"/>
      <c r="I20" s="148"/>
      <c r="J20" s="6"/>
      <c r="K20" s="140"/>
      <c r="L20" s="140"/>
      <c r="M20" s="6"/>
      <c r="N20" s="147">
        <v>45664.701550925929</v>
      </c>
      <c r="O20" s="148"/>
      <c r="P20" s="148"/>
      <c r="Q20" s="6"/>
      <c r="R20" s="140"/>
      <c r="S20" s="140"/>
      <c r="T20" s="6"/>
      <c r="U20" s="147">
        <v>45695.689988425926</v>
      </c>
      <c r="V20" s="148"/>
      <c r="W20" s="148"/>
      <c r="X20" s="6"/>
      <c r="Y20" s="140"/>
      <c r="Z20" s="140"/>
      <c r="AA20" s="6"/>
      <c r="AB20" s="147">
        <v>45723.698159722226</v>
      </c>
      <c r="AC20" s="148"/>
      <c r="AD20" s="148"/>
      <c r="AE20" s="6"/>
      <c r="AF20" s="140"/>
      <c r="AG20" s="140"/>
      <c r="AH20" s="7"/>
      <c r="AI20" s="147">
        <v>45754.671574074076</v>
      </c>
      <c r="AJ20" s="148"/>
      <c r="AK20" s="148"/>
      <c r="AL20" s="6"/>
      <c r="AM20" s="140"/>
      <c r="AN20" s="140"/>
      <c r="AO20" s="6"/>
      <c r="AP20" s="148" t="s">
        <v>147</v>
      </c>
      <c r="AQ20" s="148"/>
      <c r="AR20" s="148"/>
      <c r="AS20" s="7"/>
      <c r="AT20" s="84"/>
      <c r="AU20" s="47"/>
      <c r="AV20" s="47"/>
      <c r="AW20" s="48"/>
    </row>
    <row r="21" spans="1:49">
      <c r="A21" s="303" t="s">
        <v>148</v>
      </c>
      <c r="B21" s="304"/>
      <c r="C21" s="304"/>
      <c r="D21" s="304"/>
      <c r="E21" s="304"/>
      <c r="F21" s="9"/>
      <c r="G21" s="3" t="s">
        <v>11</v>
      </c>
      <c r="H21" s="139" t="s">
        <v>130</v>
      </c>
      <c r="I21" s="139"/>
      <c r="J21" s="8"/>
      <c r="K21" s="139">
        <v>0</v>
      </c>
      <c r="L21" s="139"/>
      <c r="M21" s="8"/>
      <c r="N21" s="3" t="s">
        <v>11</v>
      </c>
      <c r="O21" s="139" t="s">
        <v>130</v>
      </c>
      <c r="P21" s="139"/>
      <c r="Q21" s="8"/>
      <c r="R21" s="139">
        <v>0</v>
      </c>
      <c r="S21" s="139"/>
      <c r="T21" s="8"/>
      <c r="U21" s="3" t="s">
        <v>11</v>
      </c>
      <c r="V21" s="139" t="s">
        <v>130</v>
      </c>
      <c r="W21" s="139"/>
      <c r="X21" s="8"/>
      <c r="Y21" s="139">
        <v>0</v>
      </c>
      <c r="Z21" s="139"/>
      <c r="AA21" s="8"/>
      <c r="AB21" s="3" t="s">
        <v>11</v>
      </c>
      <c r="AC21" s="139" t="s">
        <v>130</v>
      </c>
      <c r="AD21" s="139"/>
      <c r="AE21" s="8"/>
      <c r="AF21" s="139">
        <v>0</v>
      </c>
      <c r="AG21" s="139"/>
      <c r="AH21" s="9"/>
      <c r="AI21" s="3" t="s">
        <v>11</v>
      </c>
      <c r="AJ21" s="139" t="s">
        <v>130</v>
      </c>
      <c r="AK21" s="139"/>
      <c r="AL21" s="8"/>
      <c r="AM21" s="139">
        <v>0</v>
      </c>
      <c r="AN21" s="139"/>
      <c r="AO21" s="8"/>
      <c r="AP21" s="3" t="s">
        <v>11</v>
      </c>
      <c r="AQ21" s="139" t="s">
        <v>130</v>
      </c>
      <c r="AR21" s="139"/>
      <c r="AS21" s="9"/>
      <c r="AT21" s="83"/>
      <c r="AU21" s="141">
        <f>K21+R21+Y21+AF21+AM21</f>
        <v>0</v>
      </c>
      <c r="AV21" s="142"/>
      <c r="AW21" s="46"/>
    </row>
    <row r="22" spans="1:49">
      <c r="A22" s="303"/>
      <c r="B22" s="304"/>
      <c r="C22" s="304"/>
      <c r="D22" s="304"/>
      <c r="E22" s="304"/>
      <c r="F22" s="9"/>
      <c r="G22" s="149" t="s">
        <v>149</v>
      </c>
      <c r="H22" s="149"/>
      <c r="I22" s="149"/>
      <c r="J22" s="8"/>
      <c r="K22" s="149"/>
      <c r="L22" s="149"/>
      <c r="M22" s="8"/>
      <c r="N22" s="155">
        <v>45664.701574074075</v>
      </c>
      <c r="O22" s="149"/>
      <c r="P22" s="149"/>
      <c r="Q22" s="8"/>
      <c r="R22" s="149"/>
      <c r="S22" s="149"/>
      <c r="T22" s="8"/>
      <c r="U22" s="155">
        <v>45695.690011574072</v>
      </c>
      <c r="V22" s="149"/>
      <c r="W22" s="149"/>
      <c r="X22" s="8"/>
      <c r="Y22" s="149"/>
      <c r="Z22" s="149"/>
      <c r="AA22" s="8"/>
      <c r="AB22" s="155">
        <v>45723.698171296295</v>
      </c>
      <c r="AC22" s="149"/>
      <c r="AD22" s="149"/>
      <c r="AE22" s="8"/>
      <c r="AF22" s="149"/>
      <c r="AG22" s="149"/>
      <c r="AH22" s="9"/>
      <c r="AI22" s="155">
        <v>45754.671585648146</v>
      </c>
      <c r="AJ22" s="149"/>
      <c r="AK22" s="149"/>
      <c r="AL22" s="8"/>
      <c r="AM22" s="149"/>
      <c r="AN22" s="149"/>
      <c r="AO22" s="8"/>
      <c r="AP22" s="149" t="s">
        <v>150</v>
      </c>
      <c r="AQ22" s="149"/>
      <c r="AR22" s="149"/>
      <c r="AS22" s="9"/>
      <c r="AT22" s="83"/>
      <c r="AU22" s="9"/>
      <c r="AV22" s="9"/>
      <c r="AW22" s="46"/>
    </row>
    <row r="23" spans="1:49">
      <c r="A23" s="300" t="s">
        <v>151</v>
      </c>
      <c r="B23" s="301"/>
      <c r="C23" s="301"/>
      <c r="D23" s="301"/>
      <c r="E23" s="301"/>
      <c r="F23" s="7"/>
      <c r="G23" s="3" t="s">
        <v>11</v>
      </c>
      <c r="H23" s="139" t="s">
        <v>130</v>
      </c>
      <c r="I23" s="139"/>
      <c r="J23" s="6"/>
      <c r="K23" s="139">
        <v>0</v>
      </c>
      <c r="L23" s="139"/>
      <c r="M23" s="6"/>
      <c r="N23" s="3" t="s">
        <v>11</v>
      </c>
      <c r="O23" s="139" t="s">
        <v>130</v>
      </c>
      <c r="P23" s="139"/>
      <c r="Q23" s="6"/>
      <c r="R23" s="139">
        <v>0</v>
      </c>
      <c r="S23" s="139"/>
      <c r="T23" s="6"/>
      <c r="U23" s="3" t="s">
        <v>11</v>
      </c>
      <c r="V23" s="139" t="s">
        <v>130</v>
      </c>
      <c r="W23" s="139"/>
      <c r="X23" s="6"/>
      <c r="Y23" s="139">
        <v>0</v>
      </c>
      <c r="Z23" s="139"/>
      <c r="AA23" s="6"/>
      <c r="AB23" s="3" t="s">
        <v>11</v>
      </c>
      <c r="AC23" s="139" t="s">
        <v>130</v>
      </c>
      <c r="AD23" s="139"/>
      <c r="AE23" s="6"/>
      <c r="AF23" s="139">
        <v>0</v>
      </c>
      <c r="AG23" s="139"/>
      <c r="AH23" s="7"/>
      <c r="AI23" s="3" t="s">
        <v>11</v>
      </c>
      <c r="AJ23" s="139" t="s">
        <v>130</v>
      </c>
      <c r="AK23" s="139"/>
      <c r="AL23" s="6"/>
      <c r="AM23" s="139">
        <v>0</v>
      </c>
      <c r="AN23" s="139"/>
      <c r="AO23" s="6"/>
      <c r="AP23" s="3" t="s">
        <v>11</v>
      </c>
      <c r="AQ23" s="139" t="s">
        <v>130</v>
      </c>
      <c r="AR23" s="139"/>
      <c r="AS23" s="7"/>
      <c r="AT23" s="84"/>
      <c r="AU23" s="141">
        <f>K23+R23+Y23+AF23+AM23</f>
        <v>0</v>
      </c>
      <c r="AV23" s="142"/>
      <c r="AW23" s="48"/>
    </row>
    <row r="24" spans="1:49">
      <c r="A24" s="300"/>
      <c r="B24" s="301"/>
      <c r="C24" s="301"/>
      <c r="D24" s="301"/>
      <c r="E24" s="301"/>
      <c r="F24" s="7"/>
      <c r="G24" s="145" t="s">
        <v>152</v>
      </c>
      <c r="H24" s="145"/>
      <c r="I24" s="145"/>
      <c r="J24" s="6"/>
      <c r="K24" s="140"/>
      <c r="L24" s="140"/>
      <c r="M24" s="6"/>
      <c r="N24" s="144">
        <v>45664.701608796298</v>
      </c>
      <c r="O24" s="145"/>
      <c r="P24" s="145"/>
      <c r="Q24" s="6"/>
      <c r="R24" s="140"/>
      <c r="S24" s="140"/>
      <c r="T24" s="6"/>
      <c r="U24" s="144">
        <v>45695.690034722225</v>
      </c>
      <c r="V24" s="145"/>
      <c r="W24" s="145"/>
      <c r="X24" s="6"/>
      <c r="Y24" s="140"/>
      <c r="Z24" s="140"/>
      <c r="AA24" s="6"/>
      <c r="AB24" s="144">
        <v>45723.698182870372</v>
      </c>
      <c r="AC24" s="145"/>
      <c r="AD24" s="145"/>
      <c r="AE24" s="6"/>
      <c r="AF24" s="140"/>
      <c r="AG24" s="140"/>
      <c r="AH24" s="7"/>
      <c r="AI24" s="144">
        <v>45754.671597222223</v>
      </c>
      <c r="AJ24" s="145"/>
      <c r="AK24" s="145"/>
      <c r="AL24" s="6"/>
      <c r="AM24" s="140"/>
      <c r="AN24" s="140"/>
      <c r="AO24" s="6"/>
      <c r="AP24" s="145" t="s">
        <v>153</v>
      </c>
      <c r="AQ24" s="145"/>
      <c r="AR24" s="145"/>
      <c r="AS24" s="7"/>
      <c r="AT24" s="84"/>
      <c r="AU24" s="47"/>
      <c r="AV24" s="47"/>
      <c r="AW24" s="48"/>
    </row>
    <row r="25" spans="1:49">
      <c r="A25" s="19"/>
      <c r="B25" s="19"/>
      <c r="C25" s="19"/>
      <c r="D25" s="19"/>
      <c r="E25" s="19"/>
      <c r="F25" s="322"/>
      <c r="G25" s="322"/>
      <c r="H25" s="322"/>
      <c r="I25" s="322"/>
      <c r="J25" s="322"/>
      <c r="K25" s="322"/>
      <c r="L25" s="322"/>
      <c r="M25" s="322"/>
      <c r="N25" s="322"/>
      <c r="O25" s="322"/>
      <c r="P25" s="322"/>
      <c r="Q25" s="322"/>
      <c r="R25" s="322"/>
      <c r="S25" s="322"/>
      <c r="T25" s="322"/>
      <c r="U25" s="322"/>
      <c r="V25" s="322"/>
      <c r="W25" s="322"/>
      <c r="X25" s="322"/>
      <c r="Y25" s="322"/>
      <c r="Z25" s="322"/>
      <c r="AA25" s="322"/>
      <c r="AB25" s="322"/>
      <c r="AC25" s="322"/>
      <c r="AD25" s="322"/>
      <c r="AE25" s="322"/>
      <c r="AF25" s="322"/>
      <c r="AG25" s="322"/>
      <c r="AH25" s="322"/>
      <c r="AI25" s="322"/>
      <c r="AJ25" s="322"/>
      <c r="AK25" s="322"/>
      <c r="AL25" s="322"/>
      <c r="AM25" s="322"/>
      <c r="AN25" s="322"/>
      <c r="AO25" s="322"/>
      <c r="AP25" s="322"/>
      <c r="AQ25" s="322"/>
      <c r="AR25" s="322"/>
      <c r="AS25" s="322"/>
      <c r="AT25" s="103"/>
      <c r="AU25" s="103"/>
      <c r="AV25" s="103"/>
      <c r="AW25" s="106"/>
    </row>
    <row r="26" spans="1:49" ht="15.6">
      <c r="A26" s="323" t="s">
        <v>154</v>
      </c>
      <c r="B26" s="324"/>
      <c r="C26" s="324"/>
      <c r="D26" s="324"/>
      <c r="E26" s="325"/>
      <c r="F26" s="294"/>
      <c r="G26" s="295"/>
      <c r="H26" s="295"/>
      <c r="I26" s="295"/>
      <c r="J26" s="295"/>
      <c r="K26" s="295"/>
      <c r="L26" s="295"/>
      <c r="M26" s="295"/>
      <c r="N26" s="295"/>
      <c r="O26" s="295"/>
      <c r="P26" s="295"/>
      <c r="Q26" s="295"/>
      <c r="R26" s="295"/>
      <c r="S26" s="295"/>
      <c r="T26" s="295"/>
      <c r="U26" s="295"/>
      <c r="V26" s="295"/>
      <c r="W26" s="295"/>
      <c r="X26" s="295"/>
      <c r="Y26" s="295"/>
      <c r="Z26" s="295"/>
      <c r="AA26" s="295"/>
      <c r="AB26" s="295"/>
      <c r="AC26" s="295"/>
      <c r="AD26" s="295"/>
      <c r="AE26" s="295"/>
      <c r="AF26" s="295"/>
      <c r="AG26" s="295"/>
      <c r="AH26" s="295"/>
      <c r="AI26" s="295"/>
      <c r="AJ26" s="295"/>
      <c r="AK26" s="295"/>
      <c r="AL26" s="295"/>
      <c r="AM26" s="295"/>
      <c r="AN26" s="295"/>
      <c r="AO26" s="295"/>
      <c r="AP26" s="295"/>
      <c r="AQ26" s="295"/>
      <c r="AR26" s="295"/>
      <c r="AS26" s="295"/>
      <c r="AT26" s="107"/>
      <c r="AU26" s="39"/>
      <c r="AV26" s="39"/>
      <c r="AW26" s="108"/>
    </row>
    <row r="27" spans="1:49">
      <c r="A27" s="300" t="s">
        <v>155</v>
      </c>
      <c r="B27" s="301"/>
      <c r="C27" s="301"/>
      <c r="D27" s="301"/>
      <c r="E27" s="301"/>
      <c r="F27" s="7"/>
      <c r="G27" s="3" t="s">
        <v>11</v>
      </c>
      <c r="H27" s="139" t="s">
        <v>156</v>
      </c>
      <c r="I27" s="139"/>
      <c r="J27" s="6"/>
      <c r="K27" s="139">
        <v>1006</v>
      </c>
      <c r="L27" s="139"/>
      <c r="M27" s="6"/>
      <c r="N27" s="3" t="s">
        <v>11</v>
      </c>
      <c r="O27" s="139" t="s">
        <v>156</v>
      </c>
      <c r="P27" s="139"/>
      <c r="Q27" s="6"/>
      <c r="R27" s="139">
        <v>203</v>
      </c>
      <c r="S27" s="139"/>
      <c r="T27" s="6"/>
      <c r="U27" s="3" t="s">
        <v>11</v>
      </c>
      <c r="V27" s="139" t="s">
        <v>156</v>
      </c>
      <c r="W27" s="139"/>
      <c r="X27" s="6"/>
      <c r="Y27" s="139">
        <v>464</v>
      </c>
      <c r="Z27" s="139"/>
      <c r="AA27" s="6"/>
      <c r="AB27" s="3" t="s">
        <v>11</v>
      </c>
      <c r="AC27" s="139" t="s">
        <v>156</v>
      </c>
      <c r="AD27" s="139"/>
      <c r="AE27" s="6"/>
      <c r="AF27" s="139">
        <v>133</v>
      </c>
      <c r="AG27" s="139"/>
      <c r="AH27" s="7"/>
      <c r="AI27" s="3" t="s">
        <v>11</v>
      </c>
      <c r="AJ27" s="139" t="s">
        <v>156</v>
      </c>
      <c r="AK27" s="139"/>
      <c r="AL27" s="6"/>
      <c r="AM27" s="139">
        <v>141</v>
      </c>
      <c r="AN27" s="139"/>
      <c r="AO27" s="6"/>
      <c r="AP27" s="3" t="s">
        <v>11</v>
      </c>
      <c r="AQ27" s="139" t="s">
        <v>156</v>
      </c>
      <c r="AR27" s="139"/>
      <c r="AS27" s="7"/>
      <c r="AT27" s="84"/>
      <c r="AU27" s="141">
        <f>K27+R27+Y27+AF27+AM27</f>
        <v>1947</v>
      </c>
      <c r="AV27" s="142"/>
      <c r="AW27" s="48"/>
    </row>
    <row r="28" spans="1:49">
      <c r="A28" s="300"/>
      <c r="B28" s="301"/>
      <c r="C28" s="301"/>
      <c r="D28" s="301"/>
      <c r="E28" s="301"/>
      <c r="F28" s="7"/>
      <c r="G28" s="148" t="s">
        <v>157</v>
      </c>
      <c r="H28" s="148"/>
      <c r="I28" s="148"/>
      <c r="J28" s="6"/>
      <c r="K28" s="140"/>
      <c r="L28" s="140"/>
      <c r="M28" s="6"/>
      <c r="N28" s="147">
        <v>45664.605497685188</v>
      </c>
      <c r="O28" s="148"/>
      <c r="P28" s="148"/>
      <c r="Q28" s="6"/>
      <c r="R28" s="140"/>
      <c r="S28" s="140"/>
      <c r="T28" s="6"/>
      <c r="U28" s="147">
        <v>45695.610717592594</v>
      </c>
      <c r="V28" s="148"/>
      <c r="W28" s="148"/>
      <c r="X28" s="6"/>
      <c r="Y28" s="140"/>
      <c r="Z28" s="140"/>
      <c r="AA28" s="6"/>
      <c r="AB28" s="147">
        <v>45723.568483796298</v>
      </c>
      <c r="AC28" s="148"/>
      <c r="AD28" s="148"/>
      <c r="AE28" s="6"/>
      <c r="AF28" s="140"/>
      <c r="AG28" s="140"/>
      <c r="AH28" s="7"/>
      <c r="AI28" s="147">
        <v>45754.610486111109</v>
      </c>
      <c r="AJ28" s="148"/>
      <c r="AK28" s="148"/>
      <c r="AL28" s="6"/>
      <c r="AM28" s="140"/>
      <c r="AN28" s="140"/>
      <c r="AO28" s="6"/>
      <c r="AP28" s="148" t="s">
        <v>158</v>
      </c>
      <c r="AQ28" s="148"/>
      <c r="AR28" s="148"/>
      <c r="AS28" s="7"/>
      <c r="AT28" s="84"/>
      <c r="AU28" s="47"/>
      <c r="AV28" s="47"/>
      <c r="AW28" s="48"/>
    </row>
    <row r="29" spans="1:49">
      <c r="A29" s="303" t="s">
        <v>159</v>
      </c>
      <c r="B29" s="304"/>
      <c r="C29" s="304"/>
      <c r="D29" s="304"/>
      <c r="E29" s="304"/>
      <c r="F29" s="9"/>
      <c r="G29" s="3" t="s">
        <v>11</v>
      </c>
      <c r="H29" s="139" t="s">
        <v>156</v>
      </c>
      <c r="I29" s="139"/>
      <c r="J29" s="8"/>
      <c r="K29" s="139">
        <v>413</v>
      </c>
      <c r="L29" s="139"/>
      <c r="M29" s="8"/>
      <c r="N29" s="3" t="s">
        <v>11</v>
      </c>
      <c r="O29" s="139" t="s">
        <v>156</v>
      </c>
      <c r="P29" s="139"/>
      <c r="Q29" s="8"/>
      <c r="R29" s="139">
        <v>585</v>
      </c>
      <c r="S29" s="139"/>
      <c r="T29" s="8"/>
      <c r="U29" s="3" t="s">
        <v>11</v>
      </c>
      <c r="V29" s="139" t="s">
        <v>156</v>
      </c>
      <c r="W29" s="139"/>
      <c r="X29" s="8"/>
      <c r="Y29" s="139">
        <v>756</v>
      </c>
      <c r="Z29" s="139"/>
      <c r="AA29" s="8"/>
      <c r="AB29" s="3" t="s">
        <v>11</v>
      </c>
      <c r="AC29" s="139" t="s">
        <v>156</v>
      </c>
      <c r="AD29" s="139"/>
      <c r="AE29" s="8"/>
      <c r="AF29" s="139">
        <v>672</v>
      </c>
      <c r="AG29" s="139"/>
      <c r="AH29" s="9"/>
      <c r="AI29" s="3" t="s">
        <v>11</v>
      </c>
      <c r="AJ29" s="139" t="s">
        <v>156</v>
      </c>
      <c r="AK29" s="139"/>
      <c r="AL29" s="8"/>
      <c r="AM29" s="139">
        <f>430+407</f>
        <v>837</v>
      </c>
      <c r="AN29" s="139"/>
      <c r="AO29" s="8"/>
      <c r="AP29" s="3" t="s">
        <v>11</v>
      </c>
      <c r="AQ29" s="139" t="s">
        <v>156</v>
      </c>
      <c r="AR29" s="139"/>
      <c r="AS29" s="9"/>
      <c r="AT29" s="83"/>
      <c r="AU29" s="141">
        <f>K29+R29+Y29+AF29+AM29</f>
        <v>3263</v>
      </c>
      <c r="AV29" s="142"/>
      <c r="AW29" s="46"/>
    </row>
    <row r="30" spans="1:49">
      <c r="A30" s="303"/>
      <c r="B30" s="304"/>
      <c r="C30" s="304"/>
      <c r="D30" s="304"/>
      <c r="E30" s="304"/>
      <c r="F30" s="9"/>
      <c r="G30" s="149" t="s">
        <v>160</v>
      </c>
      <c r="H30" s="149"/>
      <c r="I30" s="149"/>
      <c r="J30" s="8"/>
      <c r="K30" s="149"/>
      <c r="L30" s="149"/>
      <c r="M30" s="8"/>
      <c r="N30" s="155">
        <v>45664.605509259258</v>
      </c>
      <c r="O30" s="149"/>
      <c r="P30" s="149"/>
      <c r="Q30" s="8"/>
      <c r="R30" s="149"/>
      <c r="S30" s="149"/>
      <c r="T30" s="8"/>
      <c r="U30" s="155">
        <v>45695.610729166663</v>
      </c>
      <c r="V30" s="149"/>
      <c r="W30" s="149"/>
      <c r="X30" s="8"/>
      <c r="Y30" s="149"/>
      <c r="Z30" s="149"/>
      <c r="AA30" s="8"/>
      <c r="AB30" s="155">
        <v>45723.568518518521</v>
      </c>
      <c r="AC30" s="149"/>
      <c r="AD30" s="149"/>
      <c r="AE30" s="8"/>
      <c r="AF30" s="149"/>
      <c r="AG30" s="149"/>
      <c r="AH30" s="9"/>
      <c r="AI30" s="155">
        <v>45754.610497685186</v>
      </c>
      <c r="AJ30" s="149"/>
      <c r="AK30" s="149"/>
      <c r="AL30" s="8"/>
      <c r="AM30" s="149"/>
      <c r="AN30" s="149"/>
      <c r="AO30" s="8"/>
      <c r="AP30" s="149" t="s">
        <v>161</v>
      </c>
      <c r="AQ30" s="149"/>
      <c r="AR30" s="149"/>
      <c r="AS30" s="9"/>
      <c r="AT30" s="83"/>
      <c r="AU30" s="9"/>
      <c r="AV30" s="9"/>
      <c r="AW30" s="46"/>
    </row>
    <row r="31" spans="1:49">
      <c r="A31" s="300" t="s">
        <v>162</v>
      </c>
      <c r="B31" s="301"/>
      <c r="C31" s="301"/>
      <c r="D31" s="301"/>
      <c r="E31" s="301"/>
      <c r="F31" s="7"/>
      <c r="G31" s="3" t="s">
        <v>11</v>
      </c>
      <c r="H31" s="139" t="s">
        <v>156</v>
      </c>
      <c r="I31" s="139"/>
      <c r="J31" s="6"/>
      <c r="K31" s="139">
        <v>42</v>
      </c>
      <c r="L31" s="139"/>
      <c r="M31" s="6"/>
      <c r="N31" s="3" t="s">
        <v>11</v>
      </c>
      <c r="O31" s="139" t="s">
        <v>156</v>
      </c>
      <c r="P31" s="139"/>
      <c r="Q31" s="6"/>
      <c r="R31" s="139">
        <v>16</v>
      </c>
      <c r="S31" s="139"/>
      <c r="T31" s="6"/>
      <c r="U31" s="3" t="s">
        <v>11</v>
      </c>
      <c r="V31" s="139" t="s">
        <v>156</v>
      </c>
      <c r="W31" s="139"/>
      <c r="X31" s="6"/>
      <c r="Y31" s="139">
        <v>358</v>
      </c>
      <c r="Z31" s="139"/>
      <c r="AA31" s="6"/>
      <c r="AB31" s="3" t="s">
        <v>11</v>
      </c>
      <c r="AC31" s="139" t="s">
        <v>156</v>
      </c>
      <c r="AD31" s="139"/>
      <c r="AE31" s="6"/>
      <c r="AF31" s="139">
        <v>170</v>
      </c>
      <c r="AG31" s="139"/>
      <c r="AH31" s="7"/>
      <c r="AI31" s="3" t="s">
        <v>11</v>
      </c>
      <c r="AJ31" s="139" t="s">
        <v>156</v>
      </c>
      <c r="AK31" s="139"/>
      <c r="AL31" s="6"/>
      <c r="AM31" s="139">
        <v>166</v>
      </c>
      <c r="AN31" s="139"/>
      <c r="AO31" s="6"/>
      <c r="AP31" s="3" t="s">
        <v>11</v>
      </c>
      <c r="AQ31" s="139" t="s">
        <v>156</v>
      </c>
      <c r="AR31" s="139"/>
      <c r="AS31" s="7"/>
      <c r="AT31" s="84"/>
      <c r="AU31" s="141">
        <f>K31+R31+Y31+AF31+AM31</f>
        <v>752</v>
      </c>
      <c r="AV31" s="142"/>
      <c r="AW31" s="48"/>
    </row>
    <row r="32" spans="1:49">
      <c r="A32" s="300"/>
      <c r="B32" s="301"/>
      <c r="C32" s="301"/>
      <c r="D32" s="301"/>
      <c r="E32" s="301"/>
      <c r="F32" s="7"/>
      <c r="G32" s="148" t="s">
        <v>163</v>
      </c>
      <c r="H32" s="148"/>
      <c r="I32" s="148"/>
      <c r="J32" s="6"/>
      <c r="K32" s="140"/>
      <c r="L32" s="140"/>
      <c r="M32" s="6"/>
      <c r="N32" s="147">
        <v>45664.605520833335</v>
      </c>
      <c r="O32" s="148"/>
      <c r="P32" s="148"/>
      <c r="Q32" s="6"/>
      <c r="R32" s="140"/>
      <c r="S32" s="140"/>
      <c r="T32" s="6"/>
      <c r="U32" s="147">
        <v>45695.61074074074</v>
      </c>
      <c r="V32" s="148"/>
      <c r="W32" s="148"/>
      <c r="X32" s="6"/>
      <c r="Y32" s="140"/>
      <c r="Z32" s="140"/>
      <c r="AA32" s="6"/>
      <c r="AB32" s="147">
        <v>45723.568553240744</v>
      </c>
      <c r="AC32" s="148"/>
      <c r="AD32" s="148"/>
      <c r="AE32" s="6"/>
      <c r="AF32" s="140"/>
      <c r="AG32" s="140"/>
      <c r="AH32" s="7"/>
      <c r="AI32" s="147">
        <v>45754.610520833332</v>
      </c>
      <c r="AJ32" s="148"/>
      <c r="AK32" s="148"/>
      <c r="AL32" s="6"/>
      <c r="AM32" s="140"/>
      <c r="AN32" s="140"/>
      <c r="AO32" s="6"/>
      <c r="AP32" s="148" t="s">
        <v>164</v>
      </c>
      <c r="AQ32" s="148"/>
      <c r="AR32" s="148"/>
      <c r="AS32" s="7"/>
      <c r="AT32" s="84"/>
      <c r="AU32" s="47"/>
      <c r="AV32" s="47"/>
      <c r="AW32" s="48"/>
    </row>
    <row r="33" spans="1:49">
      <c r="A33" s="303" t="s">
        <v>165</v>
      </c>
      <c r="B33" s="304"/>
      <c r="C33" s="304"/>
      <c r="D33" s="304"/>
      <c r="E33" s="304"/>
      <c r="F33" s="9"/>
      <c r="G33" s="3" t="s">
        <v>11</v>
      </c>
      <c r="H33" s="139" t="s">
        <v>156</v>
      </c>
      <c r="I33" s="139"/>
      <c r="J33" s="8"/>
      <c r="K33" s="139">
        <v>0</v>
      </c>
      <c r="L33" s="139"/>
      <c r="M33" s="8"/>
      <c r="N33" s="3" t="s">
        <v>11</v>
      </c>
      <c r="O33" s="139" t="s">
        <v>156</v>
      </c>
      <c r="P33" s="139"/>
      <c r="Q33" s="8"/>
      <c r="R33" s="139">
        <v>0</v>
      </c>
      <c r="S33" s="139"/>
      <c r="T33" s="8"/>
      <c r="U33" s="3" t="s">
        <v>11</v>
      </c>
      <c r="V33" s="139" t="s">
        <v>156</v>
      </c>
      <c r="W33" s="139"/>
      <c r="X33" s="8"/>
      <c r="Y33" s="139">
        <v>0</v>
      </c>
      <c r="Z33" s="139"/>
      <c r="AA33" s="8"/>
      <c r="AB33" s="3" t="s">
        <v>11</v>
      </c>
      <c r="AC33" s="139" t="s">
        <v>156</v>
      </c>
      <c r="AD33" s="139"/>
      <c r="AE33" s="8"/>
      <c r="AF33" s="139">
        <v>0</v>
      </c>
      <c r="AG33" s="139"/>
      <c r="AH33" s="9"/>
      <c r="AI33" s="3" t="s">
        <v>11</v>
      </c>
      <c r="AJ33" s="139" t="s">
        <v>156</v>
      </c>
      <c r="AK33" s="139"/>
      <c r="AL33" s="8"/>
      <c r="AM33" s="139">
        <v>0</v>
      </c>
      <c r="AN33" s="139"/>
      <c r="AO33" s="8"/>
      <c r="AP33" s="3" t="s">
        <v>11</v>
      </c>
      <c r="AQ33" s="139" t="s">
        <v>156</v>
      </c>
      <c r="AR33" s="139"/>
      <c r="AS33" s="9"/>
      <c r="AT33" s="83"/>
      <c r="AU33" s="141">
        <f>K33+R33+Y33+AF33+AM33</f>
        <v>0</v>
      </c>
      <c r="AV33" s="142"/>
      <c r="AW33" s="46"/>
    </row>
    <row r="34" spans="1:49">
      <c r="A34" s="303"/>
      <c r="B34" s="304"/>
      <c r="C34" s="304"/>
      <c r="D34" s="304"/>
      <c r="E34" s="304"/>
      <c r="F34" s="9"/>
      <c r="G34" s="149" t="s">
        <v>166</v>
      </c>
      <c r="H34" s="149"/>
      <c r="I34" s="149"/>
      <c r="J34" s="8"/>
      <c r="K34" s="149"/>
      <c r="L34" s="149"/>
      <c r="M34" s="8"/>
      <c r="N34" s="155">
        <v>45664.605532407404</v>
      </c>
      <c r="O34" s="149"/>
      <c r="P34" s="149"/>
      <c r="Q34" s="8"/>
      <c r="R34" s="149"/>
      <c r="S34" s="149"/>
      <c r="T34" s="8"/>
      <c r="U34" s="155">
        <v>45695.610752314817</v>
      </c>
      <c r="V34" s="149"/>
      <c r="W34" s="149"/>
      <c r="X34" s="8"/>
      <c r="Y34" s="149"/>
      <c r="Z34" s="149"/>
      <c r="AA34" s="8"/>
      <c r="AB34" s="155">
        <v>45723.568576388891</v>
      </c>
      <c r="AC34" s="149"/>
      <c r="AD34" s="149"/>
      <c r="AE34" s="8"/>
      <c r="AF34" s="149"/>
      <c r="AG34" s="149"/>
      <c r="AH34" s="9"/>
      <c r="AI34" s="155">
        <v>45754.610532407409</v>
      </c>
      <c r="AJ34" s="149"/>
      <c r="AK34" s="149"/>
      <c r="AL34" s="8"/>
      <c r="AM34" s="149"/>
      <c r="AN34" s="149"/>
      <c r="AO34" s="8"/>
      <c r="AP34" s="149" t="s">
        <v>167</v>
      </c>
      <c r="AQ34" s="149"/>
      <c r="AR34" s="149"/>
      <c r="AS34" s="9"/>
      <c r="AT34" s="83"/>
      <c r="AU34" s="9"/>
      <c r="AV34" s="9"/>
      <c r="AW34" s="46"/>
    </row>
    <row r="35" spans="1:49">
      <c r="A35" s="300" t="s">
        <v>168</v>
      </c>
      <c r="B35" s="301"/>
      <c r="C35" s="301"/>
      <c r="D35" s="301"/>
      <c r="E35" s="301"/>
      <c r="F35" s="7"/>
      <c r="G35" s="3" t="s">
        <v>11</v>
      </c>
      <c r="H35" s="139" t="s">
        <v>156</v>
      </c>
      <c r="I35" s="139"/>
      <c r="J35" s="6"/>
      <c r="K35" s="139">
        <v>18</v>
      </c>
      <c r="L35" s="139"/>
      <c r="M35" s="6"/>
      <c r="N35" s="3" t="s">
        <v>11</v>
      </c>
      <c r="O35" s="139" t="s">
        <v>156</v>
      </c>
      <c r="P35" s="139"/>
      <c r="Q35" s="6"/>
      <c r="R35" s="139">
        <v>12</v>
      </c>
      <c r="S35" s="139"/>
      <c r="T35" s="6"/>
      <c r="U35" s="3" t="s">
        <v>11</v>
      </c>
      <c r="V35" s="139" t="s">
        <v>156</v>
      </c>
      <c r="W35" s="139"/>
      <c r="X35" s="6"/>
      <c r="Y35" s="139">
        <v>15</v>
      </c>
      <c r="Z35" s="139"/>
      <c r="AA35" s="6"/>
      <c r="AB35" s="3" t="s">
        <v>11</v>
      </c>
      <c r="AC35" s="139" t="s">
        <v>156</v>
      </c>
      <c r="AD35" s="139"/>
      <c r="AE35" s="6"/>
      <c r="AF35" s="139">
        <v>8</v>
      </c>
      <c r="AG35" s="139"/>
      <c r="AH35" s="7"/>
      <c r="AI35" s="3" t="s">
        <v>11</v>
      </c>
      <c r="AJ35" s="139" t="s">
        <v>156</v>
      </c>
      <c r="AK35" s="139"/>
      <c r="AL35" s="6"/>
      <c r="AM35" s="139">
        <v>49</v>
      </c>
      <c r="AN35" s="139"/>
      <c r="AO35" s="6"/>
      <c r="AP35" s="3" t="s">
        <v>11</v>
      </c>
      <c r="AQ35" s="139" t="s">
        <v>156</v>
      </c>
      <c r="AR35" s="139"/>
      <c r="AS35" s="7"/>
      <c r="AT35" s="84"/>
      <c r="AU35" s="141">
        <f>K35+R35+Y35+AF35+AM35</f>
        <v>102</v>
      </c>
      <c r="AV35" s="142"/>
      <c r="AW35" s="48"/>
    </row>
    <row r="36" spans="1:49">
      <c r="A36" s="300"/>
      <c r="B36" s="301"/>
      <c r="C36" s="301"/>
      <c r="D36" s="301"/>
      <c r="E36" s="301"/>
      <c r="F36" s="7"/>
      <c r="G36" s="148" t="s">
        <v>169</v>
      </c>
      <c r="H36" s="148"/>
      <c r="I36" s="148"/>
      <c r="J36" s="6"/>
      <c r="K36" s="140"/>
      <c r="L36" s="140"/>
      <c r="M36" s="6"/>
      <c r="N36" s="147">
        <v>45664.605555555558</v>
      </c>
      <c r="O36" s="148"/>
      <c r="P36" s="148"/>
      <c r="Q36" s="6"/>
      <c r="R36" s="140"/>
      <c r="S36" s="140"/>
      <c r="T36" s="6"/>
      <c r="U36" s="147">
        <v>45695.610763888886</v>
      </c>
      <c r="V36" s="148"/>
      <c r="W36" s="148"/>
      <c r="X36" s="6"/>
      <c r="Y36" s="140"/>
      <c r="Z36" s="140"/>
      <c r="AA36" s="6"/>
      <c r="AB36" s="147">
        <v>45723.568912037037</v>
      </c>
      <c r="AC36" s="148"/>
      <c r="AD36" s="148"/>
      <c r="AE36" s="6"/>
      <c r="AF36" s="140"/>
      <c r="AG36" s="140"/>
      <c r="AH36" s="7"/>
      <c r="AI36" s="147">
        <v>45754.610567129632</v>
      </c>
      <c r="AJ36" s="148"/>
      <c r="AK36" s="148"/>
      <c r="AL36" s="6"/>
      <c r="AM36" s="140"/>
      <c r="AN36" s="140"/>
      <c r="AO36" s="6"/>
      <c r="AP36" s="148" t="s">
        <v>170</v>
      </c>
      <c r="AQ36" s="148"/>
      <c r="AR36" s="148"/>
      <c r="AS36" s="7"/>
      <c r="AT36" s="84"/>
      <c r="AU36" s="47"/>
      <c r="AV36" s="47"/>
      <c r="AW36" s="48"/>
    </row>
    <row r="37" spans="1:49">
      <c r="A37" s="303" t="s">
        <v>171</v>
      </c>
      <c r="B37" s="304"/>
      <c r="C37" s="304"/>
      <c r="D37" s="304"/>
      <c r="E37" s="304"/>
      <c r="F37" s="9"/>
      <c r="G37" s="3" t="s">
        <v>11</v>
      </c>
      <c r="H37" s="139" t="s">
        <v>156</v>
      </c>
      <c r="I37" s="139"/>
      <c r="J37" s="8"/>
      <c r="K37" s="139">
        <v>0</v>
      </c>
      <c r="L37" s="139"/>
      <c r="M37" s="8"/>
      <c r="N37" s="3" t="s">
        <v>11</v>
      </c>
      <c r="O37" s="139" t="s">
        <v>156</v>
      </c>
      <c r="P37" s="139"/>
      <c r="Q37" s="8"/>
      <c r="R37" s="139">
        <v>0</v>
      </c>
      <c r="S37" s="139"/>
      <c r="T37" s="8"/>
      <c r="U37" s="3" t="s">
        <v>11</v>
      </c>
      <c r="V37" s="139" t="s">
        <v>156</v>
      </c>
      <c r="W37" s="139"/>
      <c r="X37" s="8"/>
      <c r="Y37" s="139">
        <v>348</v>
      </c>
      <c r="Z37" s="139"/>
      <c r="AA37" s="8"/>
      <c r="AB37" s="3" t="s">
        <v>11</v>
      </c>
      <c r="AC37" s="139" t="s">
        <v>156</v>
      </c>
      <c r="AD37" s="139"/>
      <c r="AE37" s="8"/>
      <c r="AF37" s="139">
        <v>0</v>
      </c>
      <c r="AG37" s="139"/>
      <c r="AH37" s="9"/>
      <c r="AI37" s="3" t="s">
        <v>11</v>
      </c>
      <c r="AJ37" s="139" t="s">
        <v>156</v>
      </c>
      <c r="AK37" s="139"/>
      <c r="AL37" s="8"/>
      <c r="AM37" s="139">
        <v>0</v>
      </c>
      <c r="AN37" s="139"/>
      <c r="AO37" s="8"/>
      <c r="AP37" s="3" t="s">
        <v>11</v>
      </c>
      <c r="AQ37" s="139" t="s">
        <v>156</v>
      </c>
      <c r="AR37" s="139"/>
      <c r="AS37" s="9"/>
      <c r="AT37" s="83"/>
      <c r="AU37" s="141">
        <f>K37+R37+Y37+AF37+AM37</f>
        <v>348</v>
      </c>
      <c r="AV37" s="142"/>
      <c r="AW37" s="46"/>
    </row>
    <row r="38" spans="1:49">
      <c r="A38" s="303"/>
      <c r="B38" s="304"/>
      <c r="C38" s="304"/>
      <c r="D38" s="304"/>
      <c r="E38" s="304"/>
      <c r="F38" s="9"/>
      <c r="G38" s="149" t="s">
        <v>172</v>
      </c>
      <c r="H38" s="149"/>
      <c r="I38" s="149"/>
      <c r="J38" s="8"/>
      <c r="K38" s="149"/>
      <c r="L38" s="149"/>
      <c r="M38" s="8"/>
      <c r="N38" s="155">
        <v>45664.605567129627</v>
      </c>
      <c r="O38" s="149"/>
      <c r="P38" s="149"/>
      <c r="Q38" s="8"/>
      <c r="R38" s="149"/>
      <c r="S38" s="149"/>
      <c r="T38" s="8"/>
      <c r="U38" s="155">
        <v>45695.61078703704</v>
      </c>
      <c r="V38" s="149"/>
      <c r="W38" s="149"/>
      <c r="X38" s="8"/>
      <c r="Y38" s="149"/>
      <c r="Z38" s="149"/>
      <c r="AA38" s="8"/>
      <c r="AB38" s="155">
        <v>45723.568935185183</v>
      </c>
      <c r="AC38" s="149"/>
      <c r="AD38" s="149"/>
      <c r="AE38" s="8"/>
      <c r="AF38" s="149"/>
      <c r="AG38" s="149"/>
      <c r="AH38" s="9"/>
      <c r="AI38" s="155">
        <v>45754.610578703701</v>
      </c>
      <c r="AJ38" s="149"/>
      <c r="AK38" s="149"/>
      <c r="AL38" s="8"/>
      <c r="AM38" s="149"/>
      <c r="AN38" s="149"/>
      <c r="AO38" s="8"/>
      <c r="AP38" s="149" t="s">
        <v>173</v>
      </c>
      <c r="AQ38" s="149"/>
      <c r="AR38" s="149"/>
      <c r="AS38" s="9"/>
      <c r="AT38" s="83"/>
      <c r="AU38" s="9"/>
      <c r="AV38" s="9"/>
      <c r="AW38" s="46"/>
    </row>
    <row r="39" spans="1:49">
      <c r="A39" s="300" t="s">
        <v>174</v>
      </c>
      <c r="B39" s="301"/>
      <c r="C39" s="301"/>
      <c r="D39" s="301"/>
      <c r="E39" s="301"/>
      <c r="F39" s="7"/>
      <c r="G39" s="3" t="s">
        <v>11</v>
      </c>
      <c r="H39" s="139" t="s">
        <v>156</v>
      </c>
      <c r="I39" s="139"/>
      <c r="J39" s="6"/>
      <c r="K39" s="139">
        <v>0</v>
      </c>
      <c r="L39" s="139"/>
      <c r="M39" s="6"/>
      <c r="N39" s="3" t="s">
        <v>11</v>
      </c>
      <c r="O39" s="139" t="s">
        <v>156</v>
      </c>
      <c r="P39" s="139"/>
      <c r="Q39" s="6"/>
      <c r="R39" s="139">
        <v>0</v>
      </c>
      <c r="S39" s="139"/>
      <c r="T39" s="6"/>
      <c r="U39" s="3" t="s">
        <v>11</v>
      </c>
      <c r="V39" s="139" t="s">
        <v>156</v>
      </c>
      <c r="W39" s="139"/>
      <c r="X39" s="6"/>
      <c r="Y39" s="139">
        <v>0</v>
      </c>
      <c r="Z39" s="139"/>
      <c r="AA39" s="6"/>
      <c r="AB39" s="3" t="s">
        <v>11</v>
      </c>
      <c r="AC39" s="139" t="s">
        <v>156</v>
      </c>
      <c r="AD39" s="139"/>
      <c r="AE39" s="6"/>
      <c r="AF39" s="139">
        <v>0</v>
      </c>
      <c r="AG39" s="139"/>
      <c r="AH39" s="7"/>
      <c r="AI39" s="3" t="s">
        <v>11</v>
      </c>
      <c r="AJ39" s="139" t="s">
        <v>156</v>
      </c>
      <c r="AK39" s="139"/>
      <c r="AL39" s="6"/>
      <c r="AM39" s="139">
        <v>1</v>
      </c>
      <c r="AN39" s="139"/>
      <c r="AO39" s="6"/>
      <c r="AP39" s="3" t="s">
        <v>11</v>
      </c>
      <c r="AQ39" s="139" t="s">
        <v>156</v>
      </c>
      <c r="AR39" s="139"/>
      <c r="AS39" s="7"/>
      <c r="AT39" s="84"/>
      <c r="AU39" s="141">
        <f>K39+R39+Y39+AF39+AM39</f>
        <v>1</v>
      </c>
      <c r="AV39" s="142"/>
      <c r="AW39" s="48"/>
    </row>
    <row r="40" spans="1:49">
      <c r="A40" s="300"/>
      <c r="B40" s="301"/>
      <c r="C40" s="301"/>
      <c r="D40" s="301"/>
      <c r="E40" s="301"/>
      <c r="F40" s="7"/>
      <c r="G40" s="148" t="s">
        <v>175</v>
      </c>
      <c r="H40" s="148"/>
      <c r="I40" s="148"/>
      <c r="J40" s="6"/>
      <c r="K40" s="140"/>
      <c r="L40" s="140"/>
      <c r="M40" s="6"/>
      <c r="N40" s="147">
        <v>45664.605578703704</v>
      </c>
      <c r="O40" s="148"/>
      <c r="P40" s="148"/>
      <c r="Q40" s="6"/>
      <c r="R40" s="140"/>
      <c r="S40" s="140"/>
      <c r="T40" s="6"/>
      <c r="U40" s="147">
        <v>45695.610798611109</v>
      </c>
      <c r="V40" s="148"/>
      <c r="W40" s="148"/>
      <c r="X40" s="6"/>
      <c r="Y40" s="140"/>
      <c r="Z40" s="140"/>
      <c r="AA40" s="6"/>
      <c r="AB40" s="147">
        <v>45723.568969907406</v>
      </c>
      <c r="AC40" s="148"/>
      <c r="AD40" s="148"/>
      <c r="AE40" s="6"/>
      <c r="AF40" s="140"/>
      <c r="AG40" s="140"/>
      <c r="AH40" s="7"/>
      <c r="AI40" s="147">
        <v>45754.610601851855</v>
      </c>
      <c r="AJ40" s="148"/>
      <c r="AK40" s="148"/>
      <c r="AL40" s="6"/>
      <c r="AM40" s="140"/>
      <c r="AN40" s="140"/>
      <c r="AO40" s="6"/>
      <c r="AP40" s="148" t="s">
        <v>176</v>
      </c>
      <c r="AQ40" s="148"/>
      <c r="AR40" s="148"/>
      <c r="AS40" s="7"/>
      <c r="AT40" s="84"/>
      <c r="AU40" s="47"/>
      <c r="AV40" s="47"/>
      <c r="AW40" s="48"/>
    </row>
    <row r="41" spans="1:49">
      <c r="A41" s="303" t="s">
        <v>177</v>
      </c>
      <c r="B41" s="304"/>
      <c r="C41" s="304"/>
      <c r="D41" s="304"/>
      <c r="E41" s="304"/>
      <c r="F41" s="9"/>
      <c r="G41" s="3" t="s">
        <v>11</v>
      </c>
      <c r="H41" s="139" t="s">
        <v>156</v>
      </c>
      <c r="I41" s="139"/>
      <c r="J41" s="8"/>
      <c r="K41" s="139">
        <v>0</v>
      </c>
      <c r="L41" s="139"/>
      <c r="M41" s="8"/>
      <c r="N41" s="3" t="s">
        <v>11</v>
      </c>
      <c r="O41" s="139" t="s">
        <v>156</v>
      </c>
      <c r="P41" s="139"/>
      <c r="Q41" s="8"/>
      <c r="R41" s="139">
        <v>0</v>
      </c>
      <c r="S41" s="139"/>
      <c r="T41" s="8"/>
      <c r="U41" s="3" t="s">
        <v>11</v>
      </c>
      <c r="V41" s="139" t="s">
        <v>156</v>
      </c>
      <c r="W41" s="139"/>
      <c r="X41" s="8"/>
      <c r="Y41" s="139">
        <v>0</v>
      </c>
      <c r="Z41" s="139"/>
      <c r="AA41" s="8"/>
      <c r="AB41" s="3" t="s">
        <v>11</v>
      </c>
      <c r="AC41" s="139" t="s">
        <v>156</v>
      </c>
      <c r="AD41" s="139"/>
      <c r="AE41" s="8"/>
      <c r="AF41" s="139">
        <v>0</v>
      </c>
      <c r="AG41" s="139"/>
      <c r="AH41" s="9"/>
      <c r="AI41" s="3" t="s">
        <v>11</v>
      </c>
      <c r="AJ41" s="139" t="s">
        <v>156</v>
      </c>
      <c r="AK41" s="139"/>
      <c r="AL41" s="8"/>
      <c r="AM41" s="139">
        <v>0</v>
      </c>
      <c r="AN41" s="139"/>
      <c r="AO41" s="8"/>
      <c r="AP41" s="3" t="s">
        <v>11</v>
      </c>
      <c r="AQ41" s="139" t="s">
        <v>156</v>
      </c>
      <c r="AR41" s="139"/>
      <c r="AS41" s="9"/>
      <c r="AT41" s="83"/>
      <c r="AU41" s="141">
        <f>K41+R41+Y41+AF41+AM41</f>
        <v>0</v>
      </c>
      <c r="AV41" s="142"/>
      <c r="AW41" s="46"/>
    </row>
    <row r="42" spans="1:49">
      <c r="A42" s="303"/>
      <c r="B42" s="304"/>
      <c r="C42" s="304"/>
      <c r="D42" s="304"/>
      <c r="E42" s="304"/>
      <c r="F42" s="9"/>
      <c r="G42" s="149" t="s">
        <v>178</v>
      </c>
      <c r="H42" s="149"/>
      <c r="I42" s="149"/>
      <c r="J42" s="8"/>
      <c r="K42" s="149"/>
      <c r="L42" s="149"/>
      <c r="M42" s="8"/>
      <c r="N42" s="155">
        <v>45664.605590277781</v>
      </c>
      <c r="O42" s="149"/>
      <c r="P42" s="149"/>
      <c r="Q42" s="8"/>
      <c r="R42" s="149"/>
      <c r="S42" s="149"/>
      <c r="T42" s="8"/>
      <c r="U42" s="155">
        <v>45695.610821759263</v>
      </c>
      <c r="V42" s="149"/>
      <c r="W42" s="149"/>
      <c r="X42" s="8"/>
      <c r="Y42" s="149"/>
      <c r="Z42" s="149"/>
      <c r="AA42" s="8"/>
      <c r="AB42" s="155">
        <v>45723.569004629629</v>
      </c>
      <c r="AC42" s="149"/>
      <c r="AD42" s="149"/>
      <c r="AE42" s="8"/>
      <c r="AF42" s="149"/>
      <c r="AG42" s="149"/>
      <c r="AH42" s="9"/>
      <c r="AI42" s="155">
        <v>45754.610613425924</v>
      </c>
      <c r="AJ42" s="149"/>
      <c r="AK42" s="149"/>
      <c r="AL42" s="8"/>
      <c r="AM42" s="149"/>
      <c r="AN42" s="149"/>
      <c r="AO42" s="8"/>
      <c r="AP42" s="149" t="s">
        <v>179</v>
      </c>
      <c r="AQ42" s="149"/>
      <c r="AR42" s="149"/>
      <c r="AS42" s="9"/>
      <c r="AT42" s="83"/>
      <c r="AU42" s="9"/>
      <c r="AV42" s="9"/>
      <c r="AW42" s="46"/>
    </row>
    <row r="43" spans="1:49">
      <c r="A43" s="300" t="s">
        <v>180</v>
      </c>
      <c r="B43" s="301"/>
      <c r="C43" s="301"/>
      <c r="D43" s="301"/>
      <c r="E43" s="301"/>
      <c r="F43" s="7"/>
      <c r="G43" s="3" t="s">
        <v>11</v>
      </c>
      <c r="H43" s="139" t="s">
        <v>156</v>
      </c>
      <c r="I43" s="139"/>
      <c r="J43" s="6"/>
      <c r="K43" s="139">
        <v>0</v>
      </c>
      <c r="L43" s="139"/>
      <c r="M43" s="6"/>
      <c r="N43" s="3" t="s">
        <v>11</v>
      </c>
      <c r="O43" s="139" t="s">
        <v>156</v>
      </c>
      <c r="P43" s="139"/>
      <c r="Q43" s="6"/>
      <c r="R43" s="139">
        <v>0</v>
      </c>
      <c r="S43" s="139"/>
      <c r="T43" s="6"/>
      <c r="U43" s="3" t="s">
        <v>11</v>
      </c>
      <c r="V43" s="139" t="s">
        <v>156</v>
      </c>
      <c r="W43" s="139"/>
      <c r="X43" s="6"/>
      <c r="Y43" s="139">
        <v>0</v>
      </c>
      <c r="Z43" s="139"/>
      <c r="AA43" s="6"/>
      <c r="AB43" s="3" t="s">
        <v>11</v>
      </c>
      <c r="AC43" s="139" t="s">
        <v>156</v>
      </c>
      <c r="AD43" s="139"/>
      <c r="AE43" s="6"/>
      <c r="AF43" s="139">
        <v>0</v>
      </c>
      <c r="AG43" s="139"/>
      <c r="AH43" s="7"/>
      <c r="AI43" s="3" t="s">
        <v>11</v>
      </c>
      <c r="AJ43" s="139" t="s">
        <v>156</v>
      </c>
      <c r="AK43" s="139"/>
      <c r="AL43" s="6"/>
      <c r="AM43" s="139">
        <v>0</v>
      </c>
      <c r="AN43" s="139"/>
      <c r="AO43" s="6"/>
      <c r="AP43" s="3" t="s">
        <v>11</v>
      </c>
      <c r="AQ43" s="139" t="s">
        <v>156</v>
      </c>
      <c r="AR43" s="139"/>
      <c r="AS43" s="7"/>
      <c r="AT43" s="84"/>
      <c r="AU43" s="141">
        <f>K43+R43+Y43+AF43+AM43</f>
        <v>0</v>
      </c>
      <c r="AV43" s="142"/>
      <c r="AW43" s="48"/>
    </row>
    <row r="44" spans="1:49">
      <c r="A44" s="300"/>
      <c r="B44" s="301"/>
      <c r="C44" s="301"/>
      <c r="D44" s="301"/>
      <c r="E44" s="301"/>
      <c r="F44" s="7"/>
      <c r="G44" s="145" t="s">
        <v>181</v>
      </c>
      <c r="H44" s="145"/>
      <c r="I44" s="145"/>
      <c r="J44" s="6"/>
      <c r="K44" s="140"/>
      <c r="L44" s="140"/>
      <c r="M44" s="6"/>
      <c r="N44" s="144">
        <v>45664.605613425927</v>
      </c>
      <c r="O44" s="145"/>
      <c r="P44" s="145"/>
      <c r="Q44" s="6"/>
      <c r="R44" s="140"/>
      <c r="S44" s="140"/>
      <c r="T44" s="6"/>
      <c r="U44" s="144">
        <v>45695.610833333332</v>
      </c>
      <c r="V44" s="145"/>
      <c r="W44" s="145"/>
      <c r="X44" s="6"/>
      <c r="Y44" s="140"/>
      <c r="Z44" s="140"/>
      <c r="AA44" s="6"/>
      <c r="AB44" s="144">
        <v>45723.569039351853</v>
      </c>
      <c r="AC44" s="145"/>
      <c r="AD44" s="145"/>
      <c r="AE44" s="6"/>
      <c r="AF44" s="140"/>
      <c r="AG44" s="140"/>
      <c r="AH44" s="7"/>
      <c r="AI44" s="144">
        <v>45754.610636574071</v>
      </c>
      <c r="AJ44" s="145"/>
      <c r="AK44" s="145"/>
      <c r="AL44" s="6"/>
      <c r="AM44" s="140"/>
      <c r="AN44" s="140"/>
      <c r="AO44" s="6"/>
      <c r="AP44" s="145" t="s">
        <v>182</v>
      </c>
      <c r="AQ44" s="145"/>
      <c r="AR44" s="145"/>
      <c r="AS44" s="7"/>
      <c r="AT44" s="84"/>
      <c r="AU44" s="47"/>
      <c r="AV44" s="47"/>
      <c r="AW44" s="48"/>
    </row>
    <row r="45" spans="1:49">
      <c r="A45" s="322"/>
      <c r="B45" s="322"/>
      <c r="C45" s="322"/>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2"/>
      <c r="AM45" s="322"/>
      <c r="AN45" s="322"/>
      <c r="AO45" s="322"/>
      <c r="AP45" s="322"/>
      <c r="AQ45" s="322"/>
      <c r="AR45" s="322"/>
      <c r="AS45" s="322"/>
      <c r="AT45" s="103"/>
      <c r="AU45" s="103"/>
      <c r="AV45" s="103"/>
      <c r="AW45" s="106"/>
    </row>
    <row r="46" spans="1:49" ht="15.6">
      <c r="A46" s="329" t="s">
        <v>183</v>
      </c>
      <c r="B46" s="330"/>
      <c r="C46" s="330"/>
      <c r="D46" s="330"/>
      <c r="E46" s="331"/>
      <c r="F46" s="294"/>
      <c r="G46" s="295"/>
      <c r="H46" s="295"/>
      <c r="I46" s="295"/>
      <c r="J46" s="295"/>
      <c r="K46" s="295"/>
      <c r="L46" s="295"/>
      <c r="M46" s="295"/>
      <c r="N46" s="295"/>
      <c r="O46" s="295"/>
      <c r="P46" s="295"/>
      <c r="Q46" s="295"/>
      <c r="R46" s="295"/>
      <c r="S46" s="295"/>
      <c r="T46" s="295"/>
      <c r="U46" s="295"/>
      <c r="V46" s="295"/>
      <c r="W46" s="295"/>
      <c r="X46" s="295"/>
      <c r="Y46" s="295"/>
      <c r="Z46" s="295"/>
      <c r="AA46" s="295"/>
      <c r="AB46" s="295"/>
      <c r="AC46" s="295"/>
      <c r="AD46" s="295"/>
      <c r="AE46" s="295"/>
      <c r="AF46" s="295"/>
      <c r="AG46" s="295"/>
      <c r="AH46" s="295"/>
      <c r="AI46" s="295"/>
      <c r="AJ46" s="295"/>
      <c r="AK46" s="295"/>
      <c r="AL46" s="295"/>
      <c r="AM46" s="295"/>
      <c r="AN46" s="295"/>
      <c r="AO46" s="295"/>
      <c r="AP46" s="295"/>
      <c r="AQ46" s="295"/>
      <c r="AR46" s="295"/>
      <c r="AS46" s="295"/>
      <c r="AT46" s="107"/>
      <c r="AU46" s="39"/>
      <c r="AV46" s="39"/>
      <c r="AW46" s="108"/>
    </row>
    <row r="47" spans="1:49">
      <c r="A47" s="300" t="s">
        <v>184</v>
      </c>
      <c r="B47" s="301"/>
      <c r="C47" s="301"/>
      <c r="D47" s="301"/>
      <c r="E47" s="301"/>
      <c r="F47" s="7"/>
      <c r="G47" s="3" t="s">
        <v>11</v>
      </c>
      <c r="H47" s="139" t="s">
        <v>57</v>
      </c>
      <c r="I47" s="139"/>
      <c r="J47" s="6"/>
      <c r="K47" s="139">
        <v>5</v>
      </c>
      <c r="L47" s="139"/>
      <c r="M47" s="6"/>
      <c r="N47" s="3" t="s">
        <v>11</v>
      </c>
      <c r="O47" s="139" t="s">
        <v>57</v>
      </c>
      <c r="P47" s="139"/>
      <c r="Q47" s="6"/>
      <c r="R47" s="139">
        <v>0</v>
      </c>
      <c r="S47" s="139"/>
      <c r="T47" s="6"/>
      <c r="U47" s="3" t="s">
        <v>11</v>
      </c>
      <c r="V47" s="139" t="s">
        <v>57</v>
      </c>
      <c r="W47" s="139"/>
      <c r="X47" s="6"/>
      <c r="Y47" s="139">
        <v>4</v>
      </c>
      <c r="Z47" s="139"/>
      <c r="AA47" s="6"/>
      <c r="AB47" s="3" t="s">
        <v>11</v>
      </c>
      <c r="AC47" s="139" t="s">
        <v>57</v>
      </c>
      <c r="AD47" s="139"/>
      <c r="AE47" s="6"/>
      <c r="AF47" s="139">
        <v>1</v>
      </c>
      <c r="AG47" s="139"/>
      <c r="AH47" s="7"/>
      <c r="AI47" s="3" t="s">
        <v>11</v>
      </c>
      <c r="AJ47" s="139" t="s">
        <v>12</v>
      </c>
      <c r="AK47" s="139"/>
      <c r="AL47" s="6"/>
      <c r="AM47" s="139">
        <v>3</v>
      </c>
      <c r="AN47" s="139"/>
      <c r="AO47" s="6"/>
      <c r="AP47" s="3" t="s">
        <v>11</v>
      </c>
      <c r="AQ47" s="139" t="s">
        <v>57</v>
      </c>
      <c r="AR47" s="139"/>
      <c r="AS47" s="7"/>
      <c r="AT47" s="84"/>
      <c r="AU47" s="141">
        <f>K47+R47+Y47+AF47+AM47</f>
        <v>13</v>
      </c>
      <c r="AV47" s="142"/>
      <c r="AW47" s="48"/>
    </row>
    <row r="48" spans="1:49">
      <c r="A48" s="300"/>
      <c r="B48" s="301"/>
      <c r="C48" s="301"/>
      <c r="D48" s="301"/>
      <c r="E48" s="301"/>
      <c r="F48" s="7"/>
      <c r="G48" s="148" t="s">
        <v>185</v>
      </c>
      <c r="H48" s="148"/>
      <c r="I48" s="148"/>
      <c r="J48" s="6"/>
      <c r="K48" s="140"/>
      <c r="L48" s="140"/>
      <c r="M48" s="6"/>
      <c r="N48" s="147">
        <v>45664.648425925923</v>
      </c>
      <c r="O48" s="148"/>
      <c r="P48" s="148"/>
      <c r="Q48" s="6"/>
      <c r="R48" s="140"/>
      <c r="S48" s="140"/>
      <c r="T48" s="6"/>
      <c r="U48" s="147">
        <v>45695.623611111114</v>
      </c>
      <c r="V48" s="148"/>
      <c r="W48" s="148"/>
      <c r="X48" s="6"/>
      <c r="Y48" s="140"/>
      <c r="Z48" s="140"/>
      <c r="AA48" s="6"/>
      <c r="AB48" s="147">
        <v>45723.649270833332</v>
      </c>
      <c r="AC48" s="148"/>
      <c r="AD48" s="148"/>
      <c r="AE48" s="6"/>
      <c r="AF48" s="140"/>
      <c r="AG48" s="140"/>
      <c r="AH48" s="7"/>
      <c r="AI48" s="147">
        <v>45845.403668981482</v>
      </c>
      <c r="AJ48" s="148"/>
      <c r="AK48" s="148"/>
      <c r="AL48" s="6"/>
      <c r="AM48" s="140"/>
      <c r="AN48" s="140"/>
      <c r="AO48" s="6"/>
      <c r="AP48" s="148" t="s">
        <v>186</v>
      </c>
      <c r="AQ48" s="148"/>
      <c r="AR48" s="148"/>
      <c r="AS48" s="7"/>
      <c r="AT48" s="84"/>
      <c r="AU48" s="47"/>
      <c r="AV48" s="47"/>
      <c r="AW48" s="48"/>
    </row>
    <row r="49" spans="1:49">
      <c r="A49" s="303" t="s">
        <v>187</v>
      </c>
      <c r="B49" s="304"/>
      <c r="C49" s="304"/>
      <c r="D49" s="304"/>
      <c r="E49" s="304"/>
      <c r="F49" s="9"/>
      <c r="G49" s="3" t="s">
        <v>11</v>
      </c>
      <c r="H49" s="139" t="s">
        <v>57</v>
      </c>
      <c r="I49" s="139"/>
      <c r="J49" s="8"/>
      <c r="K49" s="139">
        <v>0</v>
      </c>
      <c r="L49" s="139"/>
      <c r="M49" s="8"/>
      <c r="N49" s="3" t="s">
        <v>11</v>
      </c>
      <c r="O49" s="139" t="s">
        <v>57</v>
      </c>
      <c r="P49" s="139"/>
      <c r="Q49" s="8"/>
      <c r="R49" s="139">
        <v>0</v>
      </c>
      <c r="S49" s="139"/>
      <c r="T49" s="8"/>
      <c r="U49" s="3" t="s">
        <v>11</v>
      </c>
      <c r="V49" s="139" t="s">
        <v>57</v>
      </c>
      <c r="W49" s="139"/>
      <c r="X49" s="8"/>
      <c r="Y49" s="139">
        <v>0</v>
      </c>
      <c r="Z49" s="139"/>
      <c r="AA49" s="8"/>
      <c r="AB49" s="3" t="s">
        <v>11</v>
      </c>
      <c r="AC49" s="139" t="s">
        <v>57</v>
      </c>
      <c r="AD49" s="139"/>
      <c r="AE49" s="8"/>
      <c r="AF49" s="139">
        <v>0</v>
      </c>
      <c r="AG49" s="139"/>
      <c r="AH49" s="9"/>
      <c r="AI49" s="3" t="s">
        <v>11</v>
      </c>
      <c r="AJ49" s="139" t="s">
        <v>12</v>
      </c>
      <c r="AK49" s="139"/>
      <c r="AL49" s="8"/>
      <c r="AM49" s="139">
        <v>0</v>
      </c>
      <c r="AN49" s="139"/>
      <c r="AO49" s="8"/>
      <c r="AP49" s="3" t="s">
        <v>11</v>
      </c>
      <c r="AQ49" s="139" t="s">
        <v>57</v>
      </c>
      <c r="AR49" s="139"/>
      <c r="AS49" s="9"/>
      <c r="AT49" s="83"/>
      <c r="AU49" s="141">
        <f>K49+R49+Y49+AF49+AM49</f>
        <v>0</v>
      </c>
      <c r="AV49" s="142"/>
      <c r="AW49" s="46"/>
    </row>
    <row r="50" spans="1:49">
      <c r="A50" s="303"/>
      <c r="B50" s="304"/>
      <c r="C50" s="304"/>
      <c r="D50" s="304"/>
      <c r="E50" s="304"/>
      <c r="F50" s="9"/>
      <c r="G50" s="149" t="s">
        <v>188</v>
      </c>
      <c r="H50" s="149"/>
      <c r="I50" s="149"/>
      <c r="J50" s="8"/>
      <c r="K50" s="149"/>
      <c r="L50" s="149"/>
      <c r="M50" s="8"/>
      <c r="N50" s="155">
        <v>45664.648449074077</v>
      </c>
      <c r="O50" s="149"/>
      <c r="P50" s="149"/>
      <c r="Q50" s="8"/>
      <c r="R50" s="149"/>
      <c r="S50" s="149"/>
      <c r="T50" s="8"/>
      <c r="U50" s="155">
        <v>45695.62363425926</v>
      </c>
      <c r="V50" s="149"/>
      <c r="W50" s="149"/>
      <c r="X50" s="8"/>
      <c r="Y50" s="149"/>
      <c r="Z50" s="149"/>
      <c r="AA50" s="8"/>
      <c r="AB50" s="155">
        <v>45723.649317129632</v>
      </c>
      <c r="AC50" s="149"/>
      <c r="AD50" s="149"/>
      <c r="AE50" s="8"/>
      <c r="AF50" s="149"/>
      <c r="AG50" s="149"/>
      <c r="AH50" s="9"/>
      <c r="AI50" s="155">
        <v>45845.403923611113</v>
      </c>
      <c r="AJ50" s="149"/>
      <c r="AK50" s="149"/>
      <c r="AL50" s="8"/>
      <c r="AM50" s="149"/>
      <c r="AN50" s="149"/>
      <c r="AO50" s="8"/>
      <c r="AP50" s="149" t="s">
        <v>189</v>
      </c>
      <c r="AQ50" s="149"/>
      <c r="AR50" s="149"/>
      <c r="AS50" s="9"/>
      <c r="AT50" s="83"/>
      <c r="AU50" s="9"/>
      <c r="AV50" s="9"/>
      <c r="AW50" s="46"/>
    </row>
    <row r="51" spans="1:49">
      <c r="A51" s="300" t="s">
        <v>190</v>
      </c>
      <c r="B51" s="301"/>
      <c r="C51" s="301"/>
      <c r="D51" s="301"/>
      <c r="E51" s="301"/>
      <c r="F51" s="7"/>
      <c r="G51" s="3" t="s">
        <v>11</v>
      </c>
      <c r="H51" s="139" t="s">
        <v>57</v>
      </c>
      <c r="I51" s="139"/>
      <c r="J51" s="6"/>
      <c r="K51" s="139">
        <v>0</v>
      </c>
      <c r="L51" s="139"/>
      <c r="M51" s="6"/>
      <c r="N51" s="3" t="s">
        <v>11</v>
      </c>
      <c r="O51" s="139" t="s">
        <v>57</v>
      </c>
      <c r="P51" s="139"/>
      <c r="Q51" s="6"/>
      <c r="R51" s="139">
        <v>0</v>
      </c>
      <c r="S51" s="139"/>
      <c r="T51" s="6"/>
      <c r="U51" s="3" t="s">
        <v>11</v>
      </c>
      <c r="V51" s="139" t="s">
        <v>57</v>
      </c>
      <c r="W51" s="139"/>
      <c r="X51" s="6"/>
      <c r="Y51" s="139">
        <v>0</v>
      </c>
      <c r="Z51" s="139"/>
      <c r="AA51" s="6"/>
      <c r="AB51" s="3" t="s">
        <v>11</v>
      </c>
      <c r="AC51" s="139" t="s">
        <v>57</v>
      </c>
      <c r="AD51" s="139"/>
      <c r="AE51" s="6"/>
      <c r="AF51" s="139">
        <v>0</v>
      </c>
      <c r="AG51" s="139"/>
      <c r="AH51" s="7"/>
      <c r="AI51" s="3" t="s">
        <v>11</v>
      </c>
      <c r="AJ51" s="139" t="s">
        <v>12</v>
      </c>
      <c r="AK51" s="139"/>
      <c r="AL51" s="6"/>
      <c r="AM51" s="139">
        <v>0</v>
      </c>
      <c r="AN51" s="139"/>
      <c r="AO51" s="6"/>
      <c r="AP51" s="3" t="s">
        <v>11</v>
      </c>
      <c r="AQ51" s="139" t="s">
        <v>57</v>
      </c>
      <c r="AR51" s="139"/>
      <c r="AS51" s="7"/>
      <c r="AT51" s="84"/>
      <c r="AU51" s="141">
        <f>K51+R51+Y51+AF51+AM51</f>
        <v>0</v>
      </c>
      <c r="AV51" s="142"/>
      <c r="AW51" s="48"/>
    </row>
    <row r="52" spans="1:49">
      <c r="A52" s="300"/>
      <c r="B52" s="301"/>
      <c r="C52" s="301"/>
      <c r="D52" s="301"/>
      <c r="E52" s="301"/>
      <c r="F52" s="7"/>
      <c r="G52" s="148" t="s">
        <v>191</v>
      </c>
      <c r="H52" s="148"/>
      <c r="I52" s="148"/>
      <c r="J52" s="6"/>
      <c r="K52" s="140"/>
      <c r="L52" s="140"/>
      <c r="M52" s="6"/>
      <c r="N52" s="147">
        <v>45664.6484837963</v>
      </c>
      <c r="O52" s="148"/>
      <c r="P52" s="148"/>
      <c r="Q52" s="6"/>
      <c r="R52" s="140"/>
      <c r="S52" s="140"/>
      <c r="T52" s="6"/>
      <c r="U52" s="147">
        <v>45695.623645833337</v>
      </c>
      <c r="V52" s="148"/>
      <c r="W52" s="148"/>
      <c r="X52" s="6"/>
      <c r="Y52" s="140"/>
      <c r="Z52" s="140"/>
      <c r="AA52" s="6"/>
      <c r="AB52" s="147">
        <v>45723.649340277778</v>
      </c>
      <c r="AC52" s="148"/>
      <c r="AD52" s="148"/>
      <c r="AE52" s="6"/>
      <c r="AF52" s="140"/>
      <c r="AG52" s="140"/>
      <c r="AH52" s="7"/>
      <c r="AI52" s="147">
        <v>45845.403900462959</v>
      </c>
      <c r="AJ52" s="148"/>
      <c r="AK52" s="148"/>
      <c r="AL52" s="6"/>
      <c r="AM52" s="140"/>
      <c r="AN52" s="140"/>
      <c r="AO52" s="6"/>
      <c r="AP52" s="148" t="s">
        <v>192</v>
      </c>
      <c r="AQ52" s="148"/>
      <c r="AR52" s="148"/>
      <c r="AS52" s="7"/>
      <c r="AT52" s="84"/>
      <c r="AU52" s="47"/>
      <c r="AV52" s="47"/>
      <c r="AW52" s="48"/>
    </row>
    <row r="53" spans="1:49">
      <c r="A53" s="303" t="s">
        <v>193</v>
      </c>
      <c r="B53" s="304"/>
      <c r="C53" s="304"/>
      <c r="D53" s="304"/>
      <c r="E53" s="304"/>
      <c r="F53" s="9"/>
      <c r="G53" s="3" t="s">
        <v>17</v>
      </c>
      <c r="H53" s="139" t="s">
        <v>194</v>
      </c>
      <c r="I53" s="139"/>
      <c r="J53" s="8"/>
      <c r="K53" s="139">
        <v>0</v>
      </c>
      <c r="L53" s="139"/>
      <c r="M53" s="8"/>
      <c r="N53" s="3" t="s">
        <v>11</v>
      </c>
      <c r="O53" s="139" t="s">
        <v>57</v>
      </c>
      <c r="P53" s="139"/>
      <c r="Q53" s="8"/>
      <c r="R53" s="139">
        <v>0</v>
      </c>
      <c r="S53" s="139"/>
      <c r="T53" s="8"/>
      <c r="U53" s="3" t="s">
        <v>11</v>
      </c>
      <c r="V53" s="139" t="s">
        <v>57</v>
      </c>
      <c r="W53" s="139"/>
      <c r="X53" s="8"/>
      <c r="Y53" s="139">
        <v>0</v>
      </c>
      <c r="Z53" s="139"/>
      <c r="AA53" s="8"/>
      <c r="AB53" s="3" t="s">
        <v>11</v>
      </c>
      <c r="AC53" s="139" t="s">
        <v>57</v>
      </c>
      <c r="AD53" s="139"/>
      <c r="AE53" s="8"/>
      <c r="AF53" s="139">
        <v>0</v>
      </c>
      <c r="AG53" s="139"/>
      <c r="AH53" s="9"/>
      <c r="AI53" s="3" t="s">
        <v>11</v>
      </c>
      <c r="AJ53" s="139" t="s">
        <v>12</v>
      </c>
      <c r="AK53" s="139"/>
      <c r="AL53" s="8"/>
      <c r="AM53" s="139">
        <v>0</v>
      </c>
      <c r="AN53" s="139"/>
      <c r="AO53" s="8"/>
      <c r="AP53" s="3" t="s">
        <v>11</v>
      </c>
      <c r="AQ53" s="139" t="s">
        <v>57</v>
      </c>
      <c r="AR53" s="139"/>
      <c r="AS53" s="9"/>
      <c r="AT53" s="83"/>
      <c r="AU53" s="141">
        <f>K53+R53+Y53+AF53+AM53</f>
        <v>0</v>
      </c>
      <c r="AV53" s="142"/>
      <c r="AW53" s="46"/>
    </row>
    <row r="54" spans="1:49">
      <c r="A54" s="303"/>
      <c r="B54" s="304"/>
      <c r="C54" s="304"/>
      <c r="D54" s="304"/>
      <c r="E54" s="304"/>
      <c r="F54" s="9"/>
      <c r="G54" s="149" t="s">
        <v>195</v>
      </c>
      <c r="H54" s="149"/>
      <c r="I54" s="149"/>
      <c r="J54" s="8"/>
      <c r="K54" s="149"/>
      <c r="L54" s="149"/>
      <c r="M54" s="8"/>
      <c r="N54" s="155">
        <v>45664.648530092592</v>
      </c>
      <c r="O54" s="149"/>
      <c r="P54" s="149"/>
      <c r="Q54" s="8"/>
      <c r="R54" s="149"/>
      <c r="S54" s="149"/>
      <c r="T54" s="8"/>
      <c r="U54" s="155">
        <v>45695.623668981483</v>
      </c>
      <c r="V54" s="149"/>
      <c r="W54" s="149"/>
      <c r="X54" s="8"/>
      <c r="Y54" s="149"/>
      <c r="Z54" s="149"/>
      <c r="AA54" s="8"/>
      <c r="AB54" s="155">
        <v>45723.649375000001</v>
      </c>
      <c r="AC54" s="149"/>
      <c r="AD54" s="149"/>
      <c r="AE54" s="8"/>
      <c r="AF54" s="149"/>
      <c r="AG54" s="149"/>
      <c r="AH54" s="9"/>
      <c r="AI54" s="155">
        <v>45845.403877314813</v>
      </c>
      <c r="AJ54" s="149"/>
      <c r="AK54" s="149"/>
      <c r="AL54" s="8"/>
      <c r="AM54" s="149"/>
      <c r="AN54" s="149"/>
      <c r="AO54" s="8"/>
      <c r="AP54" s="149" t="s">
        <v>196</v>
      </c>
      <c r="AQ54" s="149"/>
      <c r="AR54" s="149"/>
      <c r="AS54" s="9"/>
      <c r="AT54" s="83"/>
      <c r="AU54" s="9"/>
      <c r="AV54" s="9"/>
      <c r="AW54" s="46"/>
    </row>
    <row r="55" spans="1:49">
      <c r="A55" s="300" t="s">
        <v>197</v>
      </c>
      <c r="B55" s="301"/>
      <c r="C55" s="301"/>
      <c r="D55" s="301"/>
      <c r="E55" s="301"/>
      <c r="F55" s="7"/>
      <c r="G55" s="3" t="s">
        <v>11</v>
      </c>
      <c r="H55" s="139" t="s">
        <v>57</v>
      </c>
      <c r="I55" s="139"/>
      <c r="J55" s="6"/>
      <c r="K55" s="139">
        <v>0</v>
      </c>
      <c r="L55" s="139"/>
      <c r="M55" s="6"/>
      <c r="N55" s="3" t="s">
        <v>11</v>
      </c>
      <c r="O55" s="139" t="s">
        <v>57</v>
      </c>
      <c r="P55" s="139"/>
      <c r="Q55" s="6"/>
      <c r="R55" s="139">
        <v>0</v>
      </c>
      <c r="S55" s="139"/>
      <c r="T55" s="6"/>
      <c r="U55" s="3" t="s">
        <v>11</v>
      </c>
      <c r="V55" s="139" t="s">
        <v>57</v>
      </c>
      <c r="W55" s="139"/>
      <c r="X55" s="6"/>
      <c r="Y55" s="139">
        <v>0</v>
      </c>
      <c r="Z55" s="139"/>
      <c r="AA55" s="6"/>
      <c r="AB55" s="3" t="s">
        <v>11</v>
      </c>
      <c r="AC55" s="139" t="s">
        <v>57</v>
      </c>
      <c r="AD55" s="139"/>
      <c r="AE55" s="6"/>
      <c r="AF55" s="139">
        <v>0</v>
      </c>
      <c r="AG55" s="139"/>
      <c r="AH55" s="7"/>
      <c r="AI55" s="3" t="s">
        <v>11</v>
      </c>
      <c r="AJ55" s="139" t="s">
        <v>12</v>
      </c>
      <c r="AK55" s="139"/>
      <c r="AL55" s="6"/>
      <c r="AM55" s="139">
        <v>0</v>
      </c>
      <c r="AN55" s="139"/>
      <c r="AO55" s="6"/>
      <c r="AP55" s="3" t="s">
        <v>11</v>
      </c>
      <c r="AQ55" s="139" t="s">
        <v>57</v>
      </c>
      <c r="AR55" s="139"/>
      <c r="AS55" s="7"/>
      <c r="AT55" s="84"/>
      <c r="AU55" s="141">
        <f>K55+R55+Y55+AF55+AM55</f>
        <v>0</v>
      </c>
      <c r="AV55" s="142"/>
      <c r="AW55" s="48"/>
    </row>
    <row r="56" spans="1:49">
      <c r="A56" s="300"/>
      <c r="B56" s="301"/>
      <c r="C56" s="301"/>
      <c r="D56" s="301"/>
      <c r="E56" s="301"/>
      <c r="F56" s="7"/>
      <c r="G56" s="148" t="s">
        <v>198</v>
      </c>
      <c r="H56" s="148"/>
      <c r="I56" s="148"/>
      <c r="J56" s="6"/>
      <c r="K56" s="140"/>
      <c r="L56" s="140"/>
      <c r="M56" s="6"/>
      <c r="N56" s="147">
        <v>45664.648564814815</v>
      </c>
      <c r="O56" s="148"/>
      <c r="P56" s="148"/>
      <c r="Q56" s="6"/>
      <c r="R56" s="140"/>
      <c r="S56" s="140"/>
      <c r="T56" s="6"/>
      <c r="U56" s="147">
        <v>45695.623692129629</v>
      </c>
      <c r="V56" s="148"/>
      <c r="W56" s="148"/>
      <c r="X56" s="6"/>
      <c r="Y56" s="140"/>
      <c r="Z56" s="140"/>
      <c r="AA56" s="6"/>
      <c r="AB56" s="147">
        <v>45723.649398148147</v>
      </c>
      <c r="AC56" s="148"/>
      <c r="AD56" s="148"/>
      <c r="AE56" s="6"/>
      <c r="AF56" s="140"/>
      <c r="AG56" s="140"/>
      <c r="AH56" s="7"/>
      <c r="AI56" s="147">
        <v>45845.403865740744</v>
      </c>
      <c r="AJ56" s="148"/>
      <c r="AK56" s="148"/>
      <c r="AL56" s="6"/>
      <c r="AM56" s="140"/>
      <c r="AN56" s="140"/>
      <c r="AO56" s="6"/>
      <c r="AP56" s="148" t="s">
        <v>199</v>
      </c>
      <c r="AQ56" s="148"/>
      <c r="AR56" s="148"/>
      <c r="AS56" s="7"/>
      <c r="AT56" s="84"/>
      <c r="AU56" s="47"/>
      <c r="AV56" s="47"/>
      <c r="AW56" s="48"/>
    </row>
    <row r="57" spans="1:49">
      <c r="A57" s="303" t="s">
        <v>200</v>
      </c>
      <c r="B57" s="304"/>
      <c r="C57" s="304"/>
      <c r="D57" s="304"/>
      <c r="E57" s="304"/>
      <c r="F57" s="9"/>
      <c r="G57" s="3" t="s">
        <v>11</v>
      </c>
      <c r="H57" s="139" t="s">
        <v>57</v>
      </c>
      <c r="I57" s="139"/>
      <c r="J57" s="8"/>
      <c r="K57" s="139">
        <v>0</v>
      </c>
      <c r="L57" s="139"/>
      <c r="M57" s="8"/>
      <c r="N57" s="3" t="s">
        <v>11</v>
      </c>
      <c r="O57" s="139" t="s">
        <v>57</v>
      </c>
      <c r="P57" s="139"/>
      <c r="Q57" s="8"/>
      <c r="R57" s="139">
        <v>0</v>
      </c>
      <c r="S57" s="139"/>
      <c r="T57" s="8"/>
      <c r="U57" s="3" t="s">
        <v>11</v>
      </c>
      <c r="V57" s="139" t="s">
        <v>57</v>
      </c>
      <c r="W57" s="139"/>
      <c r="X57" s="8"/>
      <c r="Y57" s="139">
        <v>0</v>
      </c>
      <c r="Z57" s="139"/>
      <c r="AA57" s="8"/>
      <c r="AB57" s="3" t="s">
        <v>11</v>
      </c>
      <c r="AC57" s="139" t="s">
        <v>57</v>
      </c>
      <c r="AD57" s="139"/>
      <c r="AE57" s="8"/>
      <c r="AF57" s="139">
        <v>0</v>
      </c>
      <c r="AG57" s="139"/>
      <c r="AH57" s="9"/>
      <c r="AI57" s="3" t="s">
        <v>11</v>
      </c>
      <c r="AJ57" s="139" t="s">
        <v>12</v>
      </c>
      <c r="AK57" s="139"/>
      <c r="AL57" s="8"/>
      <c r="AM57" s="139">
        <v>0</v>
      </c>
      <c r="AN57" s="139"/>
      <c r="AO57" s="8"/>
      <c r="AP57" s="3" t="s">
        <v>11</v>
      </c>
      <c r="AQ57" s="139" t="s">
        <v>57</v>
      </c>
      <c r="AR57" s="139"/>
      <c r="AS57" s="9"/>
      <c r="AT57" s="83"/>
      <c r="AU57" s="141">
        <f>K57+R57+Y57+AF57+AM57</f>
        <v>0</v>
      </c>
      <c r="AV57" s="142"/>
      <c r="AW57" s="46"/>
    </row>
    <row r="58" spans="1:49">
      <c r="A58" s="303"/>
      <c r="B58" s="304"/>
      <c r="C58" s="304"/>
      <c r="D58" s="304"/>
      <c r="E58" s="304"/>
      <c r="F58" s="9"/>
      <c r="G58" s="149" t="s">
        <v>201</v>
      </c>
      <c r="H58" s="149"/>
      <c r="I58" s="149"/>
      <c r="J58" s="8"/>
      <c r="K58" s="149"/>
      <c r="L58" s="149"/>
      <c r="M58" s="8"/>
      <c r="N58" s="155">
        <v>45664.648587962962</v>
      </c>
      <c r="O58" s="149"/>
      <c r="P58" s="149"/>
      <c r="Q58" s="8"/>
      <c r="R58" s="149"/>
      <c r="S58" s="149"/>
      <c r="T58" s="8"/>
      <c r="U58" s="155">
        <v>45695.623715277776</v>
      </c>
      <c r="V58" s="149"/>
      <c r="W58" s="149"/>
      <c r="X58" s="8"/>
      <c r="Y58" s="149"/>
      <c r="Z58" s="149"/>
      <c r="AA58" s="8"/>
      <c r="AB58" s="155">
        <v>45723.649421296293</v>
      </c>
      <c r="AC58" s="149"/>
      <c r="AD58" s="149"/>
      <c r="AE58" s="8"/>
      <c r="AF58" s="149"/>
      <c r="AG58" s="149"/>
      <c r="AH58" s="9"/>
      <c r="AI58" s="155">
        <v>45845.40384259259</v>
      </c>
      <c r="AJ58" s="149"/>
      <c r="AK58" s="149"/>
      <c r="AL58" s="8"/>
      <c r="AM58" s="149"/>
      <c r="AN58" s="149"/>
      <c r="AO58" s="8"/>
      <c r="AP58" s="149" t="s">
        <v>202</v>
      </c>
      <c r="AQ58" s="149"/>
      <c r="AR58" s="149"/>
      <c r="AS58" s="9"/>
      <c r="AT58" s="83"/>
      <c r="AU58" s="9"/>
      <c r="AV58" s="9"/>
      <c r="AW58" s="46"/>
    </row>
    <row r="59" spans="1:49">
      <c r="A59" s="300" t="s">
        <v>203</v>
      </c>
      <c r="B59" s="301"/>
      <c r="C59" s="301"/>
      <c r="D59" s="301"/>
      <c r="E59" s="301"/>
      <c r="F59" s="7"/>
      <c r="G59" s="3" t="s">
        <v>17</v>
      </c>
      <c r="H59" s="139" t="s">
        <v>204</v>
      </c>
      <c r="I59" s="139"/>
      <c r="J59" s="6"/>
      <c r="K59" s="139">
        <v>0</v>
      </c>
      <c r="L59" s="139"/>
      <c r="M59" s="6"/>
      <c r="N59" s="3" t="s">
        <v>17</v>
      </c>
      <c r="O59" s="139" t="s">
        <v>205</v>
      </c>
      <c r="P59" s="139"/>
      <c r="Q59" s="6"/>
      <c r="R59" s="139">
        <v>0</v>
      </c>
      <c r="S59" s="139"/>
      <c r="T59" s="6"/>
      <c r="U59" s="3" t="s">
        <v>11</v>
      </c>
      <c r="V59" s="139" t="s">
        <v>57</v>
      </c>
      <c r="W59" s="139"/>
      <c r="X59" s="6"/>
      <c r="Y59" s="139">
        <v>0</v>
      </c>
      <c r="Z59" s="139"/>
      <c r="AA59" s="6"/>
      <c r="AB59" s="3" t="s">
        <v>11</v>
      </c>
      <c r="AC59" s="139" t="s">
        <v>57</v>
      </c>
      <c r="AD59" s="139"/>
      <c r="AE59" s="6"/>
      <c r="AF59" s="139">
        <v>0</v>
      </c>
      <c r="AG59" s="139"/>
      <c r="AH59" s="7"/>
      <c r="AI59" s="3" t="s">
        <v>11</v>
      </c>
      <c r="AJ59" s="139" t="s">
        <v>12</v>
      </c>
      <c r="AK59" s="139"/>
      <c r="AL59" s="6"/>
      <c r="AM59" s="139">
        <v>0</v>
      </c>
      <c r="AN59" s="139"/>
      <c r="AO59" s="6"/>
      <c r="AP59" s="3" t="s">
        <v>11</v>
      </c>
      <c r="AQ59" s="139" t="s">
        <v>57</v>
      </c>
      <c r="AR59" s="139"/>
      <c r="AS59" s="7"/>
      <c r="AT59" s="84"/>
      <c r="AU59" s="141">
        <f>K59+R59+Y59+AF59+AM59</f>
        <v>0</v>
      </c>
      <c r="AV59" s="142"/>
      <c r="AW59" s="48"/>
    </row>
    <row r="60" spans="1:49">
      <c r="A60" s="300"/>
      <c r="B60" s="301"/>
      <c r="C60" s="301"/>
      <c r="D60" s="301"/>
      <c r="E60" s="301"/>
      <c r="F60" s="7"/>
      <c r="G60" s="148" t="s">
        <v>195</v>
      </c>
      <c r="H60" s="148"/>
      <c r="I60" s="148"/>
      <c r="J60" s="6"/>
      <c r="K60" s="140"/>
      <c r="L60" s="140"/>
      <c r="M60" s="6"/>
      <c r="N60" s="147" t="s">
        <v>206</v>
      </c>
      <c r="O60" s="148"/>
      <c r="P60" s="148"/>
      <c r="Q60" s="6"/>
      <c r="R60" s="140"/>
      <c r="S60" s="140"/>
      <c r="T60" s="6"/>
      <c r="U60" s="147">
        <v>45695.623726851853</v>
      </c>
      <c r="V60" s="148"/>
      <c r="W60" s="148"/>
      <c r="X60" s="6"/>
      <c r="Y60" s="140"/>
      <c r="Z60" s="140"/>
      <c r="AA60" s="6"/>
      <c r="AB60" s="147">
        <v>45723.652777777781</v>
      </c>
      <c r="AC60" s="148"/>
      <c r="AD60" s="148"/>
      <c r="AE60" s="6"/>
      <c r="AF60" s="140"/>
      <c r="AG60" s="140"/>
      <c r="AH60" s="7"/>
      <c r="AI60" s="147">
        <v>45845.403819444444</v>
      </c>
      <c r="AJ60" s="148"/>
      <c r="AK60" s="148"/>
      <c r="AL60" s="6"/>
      <c r="AM60" s="140"/>
      <c r="AN60" s="140"/>
      <c r="AO60" s="6"/>
      <c r="AP60" s="148" t="s">
        <v>207</v>
      </c>
      <c r="AQ60" s="148"/>
      <c r="AR60" s="148"/>
      <c r="AS60" s="7"/>
      <c r="AT60" s="84"/>
      <c r="AU60" s="47"/>
      <c r="AV60" s="47"/>
      <c r="AW60" s="48"/>
    </row>
    <row r="61" spans="1:49">
      <c r="A61" s="303" t="s">
        <v>208</v>
      </c>
      <c r="B61" s="304"/>
      <c r="C61" s="304"/>
      <c r="D61" s="304"/>
      <c r="E61" s="304"/>
      <c r="F61" s="9"/>
      <c r="G61" s="3" t="s">
        <v>11</v>
      </c>
      <c r="H61" s="139" t="s">
        <v>57</v>
      </c>
      <c r="I61" s="139"/>
      <c r="J61" s="8"/>
      <c r="K61" s="139">
        <v>0</v>
      </c>
      <c r="L61" s="139"/>
      <c r="M61" s="8"/>
      <c r="N61" s="3" t="s">
        <v>17</v>
      </c>
      <c r="O61" s="139" t="s">
        <v>209</v>
      </c>
      <c r="P61" s="139"/>
      <c r="Q61" s="8"/>
      <c r="R61" s="139">
        <v>0</v>
      </c>
      <c r="S61" s="139"/>
      <c r="T61" s="8"/>
      <c r="U61" s="3" t="s">
        <v>11</v>
      </c>
      <c r="V61" s="139" t="s">
        <v>57</v>
      </c>
      <c r="W61" s="139"/>
      <c r="X61" s="8"/>
      <c r="Y61" s="139">
        <v>0</v>
      </c>
      <c r="Z61" s="139"/>
      <c r="AA61" s="8"/>
      <c r="AB61" s="3" t="s">
        <v>11</v>
      </c>
      <c r="AC61" s="139" t="s">
        <v>57</v>
      </c>
      <c r="AD61" s="139"/>
      <c r="AE61" s="8"/>
      <c r="AF61" s="139">
        <v>0</v>
      </c>
      <c r="AG61" s="139"/>
      <c r="AH61" s="9"/>
      <c r="AI61" s="3" t="s">
        <v>11</v>
      </c>
      <c r="AJ61" s="139" t="s">
        <v>12</v>
      </c>
      <c r="AK61" s="139"/>
      <c r="AL61" s="8"/>
      <c r="AM61" s="139">
        <v>0</v>
      </c>
      <c r="AN61" s="139"/>
      <c r="AO61" s="8"/>
      <c r="AP61" s="3" t="s">
        <v>11</v>
      </c>
      <c r="AQ61" s="139" t="s">
        <v>57</v>
      </c>
      <c r="AR61" s="139"/>
      <c r="AS61" s="9"/>
      <c r="AT61" s="83"/>
      <c r="AU61" s="141">
        <f>K61+R61+Y61+AF61+AM61</f>
        <v>0</v>
      </c>
      <c r="AV61" s="142"/>
      <c r="AW61" s="46"/>
    </row>
    <row r="62" spans="1:49">
      <c r="A62" s="303"/>
      <c r="B62" s="304"/>
      <c r="C62" s="304"/>
      <c r="D62" s="304"/>
      <c r="E62" s="304"/>
      <c r="F62" s="9"/>
      <c r="G62" s="155">
        <v>45723.650358796294</v>
      </c>
      <c r="H62" s="149"/>
      <c r="I62" s="149"/>
      <c r="J62" s="8"/>
      <c r="K62" s="149"/>
      <c r="L62" s="149"/>
      <c r="M62" s="8"/>
      <c r="N62" s="149" t="s">
        <v>206</v>
      </c>
      <c r="O62" s="149"/>
      <c r="P62" s="149"/>
      <c r="Q62" s="8"/>
      <c r="R62" s="149"/>
      <c r="S62" s="149"/>
      <c r="T62" s="8"/>
      <c r="U62" s="155">
        <v>45695.623749999999</v>
      </c>
      <c r="V62" s="149"/>
      <c r="W62" s="149"/>
      <c r="X62" s="8"/>
      <c r="Y62" s="149"/>
      <c r="Z62" s="149"/>
      <c r="AA62" s="8"/>
      <c r="AB62" s="155">
        <v>45723.652812499997</v>
      </c>
      <c r="AC62" s="149"/>
      <c r="AD62" s="149"/>
      <c r="AE62" s="8"/>
      <c r="AF62" s="149"/>
      <c r="AG62" s="149"/>
      <c r="AH62" s="9"/>
      <c r="AI62" s="155">
        <v>45845.403807870367</v>
      </c>
      <c r="AJ62" s="149"/>
      <c r="AK62" s="149"/>
      <c r="AL62" s="8"/>
      <c r="AM62" s="149"/>
      <c r="AN62" s="149"/>
      <c r="AO62" s="8"/>
      <c r="AP62" s="149" t="s">
        <v>210</v>
      </c>
      <c r="AQ62" s="149"/>
      <c r="AR62" s="149"/>
      <c r="AS62" s="9"/>
      <c r="AT62" s="83"/>
      <c r="AU62" s="9"/>
      <c r="AV62" s="9"/>
      <c r="AW62" s="46"/>
    </row>
    <row r="63" spans="1:49">
      <c r="A63" s="300" t="s">
        <v>211</v>
      </c>
      <c r="B63" s="301"/>
      <c r="C63" s="301"/>
      <c r="D63" s="301"/>
      <c r="E63" s="301"/>
      <c r="F63" s="7"/>
      <c r="G63" s="3" t="s">
        <v>11</v>
      </c>
      <c r="H63" s="139" t="s">
        <v>57</v>
      </c>
      <c r="I63" s="139"/>
      <c r="J63" s="139"/>
      <c r="K63" s="139"/>
      <c r="L63" s="139"/>
      <c r="M63" s="139"/>
      <c r="N63" s="139"/>
      <c r="O63" s="139"/>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4"/>
      <c r="AM63" s="139">
        <v>88</v>
      </c>
      <c r="AN63" s="139"/>
      <c r="AO63" s="7"/>
      <c r="AP63" s="47"/>
      <c r="AQ63" s="47"/>
      <c r="AR63" s="47"/>
      <c r="AS63" s="48"/>
      <c r="AT63" s="84"/>
      <c r="AU63" s="141">
        <f>AM63</f>
        <v>88</v>
      </c>
      <c r="AV63" s="142"/>
      <c r="AW63" s="48"/>
    </row>
    <row r="64" spans="1:49" ht="15" thickBot="1">
      <c r="A64" s="300"/>
      <c r="B64" s="301"/>
      <c r="C64" s="301"/>
      <c r="D64" s="301"/>
      <c r="E64" s="301"/>
      <c r="F64" s="7"/>
      <c r="G64" s="146">
        <v>45695.379560185182</v>
      </c>
      <c r="H64" s="140"/>
      <c r="I64" s="140"/>
      <c r="J64" s="140"/>
      <c r="K64" s="140"/>
      <c r="L64" s="140"/>
      <c r="M64" s="140"/>
      <c r="N64" s="140"/>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6"/>
      <c r="AM64" s="6"/>
      <c r="AN64" s="6"/>
      <c r="AO64" s="7"/>
      <c r="AP64" s="47"/>
      <c r="AQ64" s="47"/>
      <c r="AR64" s="47"/>
      <c r="AS64" s="48"/>
      <c r="AT64" s="84"/>
      <c r="AU64" s="47"/>
      <c r="AV64" s="47"/>
      <c r="AW64" s="48"/>
    </row>
    <row r="65" spans="1:49" ht="15" thickTop="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09"/>
      <c r="AQ65" s="110"/>
      <c r="AR65" s="110"/>
      <c r="AS65" s="111"/>
      <c r="AT65" s="120"/>
      <c r="AU65" s="20"/>
      <c r="AV65" s="20"/>
      <c r="AW65" s="20"/>
    </row>
    <row r="66" spans="1:49" ht="15.6">
      <c r="A66" s="323" t="s">
        <v>212</v>
      </c>
      <c r="B66" s="324"/>
      <c r="C66" s="324"/>
      <c r="D66" s="324"/>
      <c r="E66" s="325"/>
      <c r="F66" s="294"/>
      <c r="G66" s="295"/>
      <c r="H66" s="295"/>
      <c r="I66" s="295"/>
      <c r="J66" s="295"/>
      <c r="K66" s="295"/>
      <c r="L66" s="295"/>
      <c r="M66" s="295"/>
      <c r="N66" s="295"/>
      <c r="O66" s="295"/>
      <c r="P66" s="295"/>
      <c r="Q66" s="295"/>
      <c r="R66" s="295"/>
      <c r="S66" s="295"/>
      <c r="T66" s="295"/>
      <c r="U66" s="295"/>
      <c r="V66" s="295"/>
      <c r="W66" s="295"/>
      <c r="X66" s="295"/>
      <c r="Y66" s="295"/>
      <c r="Z66" s="295"/>
      <c r="AA66" s="295"/>
      <c r="AB66" s="295"/>
      <c r="AC66" s="295"/>
      <c r="AD66" s="295"/>
      <c r="AE66" s="295"/>
      <c r="AF66" s="295"/>
      <c r="AG66" s="295"/>
      <c r="AH66" s="295"/>
      <c r="AI66" s="295"/>
      <c r="AJ66" s="295"/>
      <c r="AK66" s="295"/>
      <c r="AL66" s="295"/>
      <c r="AM66" s="295"/>
      <c r="AN66" s="295"/>
      <c r="AO66" s="296"/>
      <c r="AP66" s="112"/>
      <c r="AQ66" s="289" t="s">
        <v>9</v>
      </c>
      <c r="AR66" s="289"/>
      <c r="AS66" s="40"/>
    </row>
    <row r="67" spans="1:49">
      <c r="A67" s="339" t="s">
        <v>213</v>
      </c>
      <c r="B67" s="340"/>
      <c r="C67" s="340"/>
      <c r="D67" s="340"/>
      <c r="E67" s="340"/>
      <c r="F67" s="7"/>
      <c r="G67" s="3" t="s">
        <v>11</v>
      </c>
      <c r="H67" s="139" t="s">
        <v>156</v>
      </c>
      <c r="I67" s="139"/>
      <c r="J67" s="6"/>
      <c r="K67" s="139">
        <v>15</v>
      </c>
      <c r="L67" s="139"/>
      <c r="M67" s="6"/>
      <c r="N67" s="3" t="s">
        <v>11</v>
      </c>
      <c r="O67" s="139" t="s">
        <v>156</v>
      </c>
      <c r="P67" s="139"/>
      <c r="Q67" s="6"/>
      <c r="R67" s="139">
        <v>20</v>
      </c>
      <c r="S67" s="139"/>
      <c r="T67" s="6"/>
      <c r="U67" s="3" t="s">
        <v>11</v>
      </c>
      <c r="V67" s="139" t="s">
        <v>156</v>
      </c>
      <c r="W67" s="139"/>
      <c r="X67" s="6"/>
      <c r="Y67" s="139">
        <v>22</v>
      </c>
      <c r="Z67" s="139"/>
      <c r="AA67" s="6"/>
      <c r="AB67" s="3" t="s">
        <v>11</v>
      </c>
      <c r="AC67" s="139" t="s">
        <v>156</v>
      </c>
      <c r="AD67" s="139"/>
      <c r="AE67" s="6"/>
      <c r="AF67" s="139">
        <v>25</v>
      </c>
      <c r="AG67" s="139"/>
      <c r="AH67" s="6"/>
      <c r="AI67" s="3" t="s">
        <v>11</v>
      </c>
      <c r="AJ67" s="139" t="s">
        <v>156</v>
      </c>
      <c r="AK67" s="139"/>
      <c r="AL67" s="6"/>
      <c r="AM67" s="139">
        <v>21</v>
      </c>
      <c r="AN67" s="139"/>
      <c r="AO67" s="35"/>
      <c r="AP67" s="113"/>
      <c r="AQ67" s="141">
        <f>K67+R67+Y67+AF67+AM67</f>
        <v>103</v>
      </c>
      <c r="AR67" s="142"/>
      <c r="AS67" s="114"/>
    </row>
    <row r="68" spans="1:49">
      <c r="A68" s="339"/>
      <c r="B68" s="340"/>
      <c r="C68" s="340"/>
      <c r="D68" s="340"/>
      <c r="E68" s="340"/>
      <c r="F68" s="7"/>
      <c r="G68" s="140" t="s">
        <v>214</v>
      </c>
      <c r="H68" s="140"/>
      <c r="I68" s="140"/>
      <c r="J68" s="6"/>
      <c r="K68" s="140"/>
      <c r="L68" s="140"/>
      <c r="M68" s="6"/>
      <c r="N68" s="146">
        <v>45664.605347222219</v>
      </c>
      <c r="O68" s="140"/>
      <c r="P68" s="140"/>
      <c r="Q68" s="6"/>
      <c r="R68" s="140"/>
      <c r="S68" s="140"/>
      <c r="T68" s="6"/>
      <c r="U68" s="146">
        <v>45695.610949074071</v>
      </c>
      <c r="V68" s="140"/>
      <c r="W68" s="140"/>
      <c r="X68" s="6"/>
      <c r="Y68" s="140"/>
      <c r="Z68" s="140"/>
      <c r="AA68" s="6"/>
      <c r="AB68" s="146">
        <v>45723.568356481483</v>
      </c>
      <c r="AC68" s="140"/>
      <c r="AD68" s="140"/>
      <c r="AE68" s="6"/>
      <c r="AF68" s="140"/>
      <c r="AG68" s="140"/>
      <c r="AH68" s="6"/>
      <c r="AI68" s="146">
        <v>45754.612256944441</v>
      </c>
      <c r="AJ68" s="140"/>
      <c r="AK68" s="140"/>
      <c r="AL68" s="6"/>
      <c r="AM68" s="140"/>
      <c r="AN68" s="140"/>
      <c r="AO68" s="35"/>
      <c r="AP68" s="113"/>
      <c r="AQ68" s="47"/>
      <c r="AR68" s="47"/>
      <c r="AS68" s="114"/>
    </row>
    <row r="69" spans="1:49">
      <c r="A69" s="332" t="s">
        <v>215</v>
      </c>
      <c r="B69" s="333"/>
      <c r="C69" s="333"/>
      <c r="D69" s="333"/>
      <c r="E69" s="333"/>
      <c r="F69" s="9"/>
      <c r="G69" s="3" t="s">
        <v>11</v>
      </c>
      <c r="H69" s="139" t="s">
        <v>156</v>
      </c>
      <c r="I69" s="139"/>
      <c r="J69" s="8"/>
      <c r="K69" s="149"/>
      <c r="L69" s="149"/>
      <c r="M69" s="8"/>
      <c r="N69" s="3" t="s">
        <v>11</v>
      </c>
      <c r="O69" s="139" t="s">
        <v>156</v>
      </c>
      <c r="P69" s="139"/>
      <c r="Q69" s="8"/>
      <c r="R69" s="149"/>
      <c r="S69" s="149"/>
      <c r="T69" s="8"/>
      <c r="U69" s="3" t="s">
        <v>11</v>
      </c>
      <c r="V69" s="139" t="s">
        <v>156</v>
      </c>
      <c r="W69" s="139"/>
      <c r="X69" s="8"/>
      <c r="Y69" s="149"/>
      <c r="Z69" s="149"/>
      <c r="AA69" s="8"/>
      <c r="AB69" s="3" t="s">
        <v>11</v>
      </c>
      <c r="AC69" s="139" t="s">
        <v>156</v>
      </c>
      <c r="AD69" s="139"/>
      <c r="AE69" s="8"/>
      <c r="AF69" s="149"/>
      <c r="AG69" s="149"/>
      <c r="AH69" s="8"/>
      <c r="AI69" s="3" t="s">
        <v>11</v>
      </c>
      <c r="AJ69" s="139" t="s">
        <v>156</v>
      </c>
      <c r="AK69" s="139"/>
      <c r="AL69" s="8"/>
      <c r="AM69" s="149"/>
      <c r="AN69" s="149"/>
      <c r="AO69" s="36"/>
      <c r="AP69" s="115"/>
      <c r="AQ69" s="9"/>
      <c r="AR69" s="9"/>
      <c r="AS69" s="16"/>
    </row>
    <row r="70" spans="1:49">
      <c r="A70" s="332"/>
      <c r="B70" s="333"/>
      <c r="C70" s="333"/>
      <c r="D70" s="333"/>
      <c r="E70" s="333"/>
      <c r="F70" s="9"/>
      <c r="G70" s="149" t="s">
        <v>216</v>
      </c>
      <c r="H70" s="149"/>
      <c r="I70" s="149"/>
      <c r="J70" s="8"/>
      <c r="K70" s="149"/>
      <c r="L70" s="149"/>
      <c r="M70" s="8"/>
      <c r="N70" s="155">
        <v>45664.605381944442</v>
      </c>
      <c r="O70" s="149"/>
      <c r="P70" s="149"/>
      <c r="Q70" s="8"/>
      <c r="R70" s="149"/>
      <c r="S70" s="149"/>
      <c r="T70" s="8"/>
      <c r="U70" s="155">
        <v>45695.610972222225</v>
      </c>
      <c r="V70" s="149"/>
      <c r="W70" s="149"/>
      <c r="X70" s="8"/>
      <c r="Y70" s="149"/>
      <c r="Z70" s="149"/>
      <c r="AA70" s="8"/>
      <c r="AB70" s="155">
        <v>45723.568379629629</v>
      </c>
      <c r="AC70" s="149"/>
      <c r="AD70" s="149"/>
      <c r="AE70" s="8"/>
      <c r="AF70" s="149"/>
      <c r="AG70" s="149"/>
      <c r="AH70" s="8"/>
      <c r="AI70" s="155">
        <v>45754.612268518518</v>
      </c>
      <c r="AJ70" s="149"/>
      <c r="AK70" s="149"/>
      <c r="AL70" s="8"/>
      <c r="AM70" s="149"/>
      <c r="AN70" s="149"/>
      <c r="AO70" s="36"/>
      <c r="AP70" s="115"/>
      <c r="AQ70" s="9"/>
      <c r="AR70" s="9"/>
      <c r="AS70" s="16"/>
    </row>
    <row r="71" spans="1:49">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5"/>
      <c r="AP71" s="116"/>
      <c r="AQ71" s="103"/>
      <c r="AR71" s="103"/>
      <c r="AS71" s="117"/>
    </row>
    <row r="72" spans="1:49" ht="15.6">
      <c r="A72" s="323" t="s">
        <v>217</v>
      </c>
      <c r="B72" s="324"/>
      <c r="C72" s="324"/>
      <c r="D72" s="324"/>
      <c r="E72" s="325"/>
      <c r="F72" s="294"/>
      <c r="G72" s="295"/>
      <c r="H72" s="295"/>
      <c r="I72" s="295"/>
      <c r="J72" s="295"/>
      <c r="K72" s="295"/>
      <c r="L72" s="295"/>
      <c r="M72" s="295"/>
      <c r="N72" s="295"/>
      <c r="O72" s="295"/>
      <c r="P72" s="295"/>
      <c r="Q72" s="295"/>
      <c r="R72" s="295"/>
      <c r="S72" s="295"/>
      <c r="T72" s="295"/>
      <c r="U72" s="295"/>
      <c r="V72" s="295"/>
      <c r="W72" s="295"/>
      <c r="X72" s="295"/>
      <c r="Y72" s="295"/>
      <c r="Z72" s="295"/>
      <c r="AA72" s="295"/>
      <c r="AB72" s="295"/>
      <c r="AC72" s="295"/>
      <c r="AD72" s="295"/>
      <c r="AE72" s="295"/>
      <c r="AF72" s="295"/>
      <c r="AG72" s="295"/>
      <c r="AH72" s="295"/>
      <c r="AI72" s="295"/>
      <c r="AJ72" s="295"/>
      <c r="AK72" s="295"/>
      <c r="AL72" s="295"/>
      <c r="AM72" s="295"/>
      <c r="AN72" s="295"/>
      <c r="AO72" s="296"/>
      <c r="AP72" s="112"/>
      <c r="AQ72" s="39"/>
      <c r="AR72" s="39"/>
      <c r="AS72" s="40"/>
    </row>
    <row r="73" spans="1:49">
      <c r="A73" s="339" t="s">
        <v>218</v>
      </c>
      <c r="B73" s="340"/>
      <c r="C73" s="340"/>
      <c r="D73" s="340"/>
      <c r="E73" s="340"/>
      <c r="F73" s="7"/>
      <c r="G73" s="3" t="s">
        <v>17</v>
      </c>
      <c r="H73" s="139" t="s">
        <v>219</v>
      </c>
      <c r="I73" s="139"/>
      <c r="J73" s="6"/>
      <c r="K73" s="139">
        <v>0</v>
      </c>
      <c r="L73" s="139"/>
      <c r="M73" s="6"/>
      <c r="N73" s="3" t="s">
        <v>11</v>
      </c>
      <c r="O73" s="139" t="s">
        <v>12</v>
      </c>
      <c r="P73" s="139"/>
      <c r="Q73" s="6"/>
      <c r="R73" s="139">
        <v>56</v>
      </c>
      <c r="S73" s="139"/>
      <c r="T73" s="7"/>
      <c r="U73" s="3" t="s">
        <v>17</v>
      </c>
      <c r="V73" s="139" t="s">
        <v>220</v>
      </c>
      <c r="W73" s="139"/>
      <c r="X73" s="6"/>
      <c r="Y73" s="139">
        <v>0</v>
      </c>
      <c r="Z73" s="139"/>
      <c r="AA73" s="7"/>
      <c r="AB73" s="3" t="s">
        <v>11</v>
      </c>
      <c r="AC73" s="139" t="s">
        <v>12</v>
      </c>
      <c r="AD73" s="139"/>
      <c r="AE73" s="6"/>
      <c r="AF73" s="139">
        <v>3</v>
      </c>
      <c r="AG73" s="139"/>
      <c r="AH73" s="7"/>
      <c r="AI73" s="3" t="s">
        <v>17</v>
      </c>
      <c r="AJ73" s="139" t="s">
        <v>221</v>
      </c>
      <c r="AK73" s="139"/>
      <c r="AL73" s="6"/>
      <c r="AM73" s="139">
        <v>0</v>
      </c>
      <c r="AN73" s="139"/>
      <c r="AO73" s="13"/>
      <c r="AP73" s="113"/>
      <c r="AQ73" s="141">
        <f>K73+R73+Y73+AF73+AM73</f>
        <v>59</v>
      </c>
      <c r="AR73" s="142"/>
      <c r="AS73" s="114"/>
    </row>
    <row r="74" spans="1:49">
      <c r="A74" s="339"/>
      <c r="B74" s="340"/>
      <c r="C74" s="340"/>
      <c r="D74" s="340"/>
      <c r="E74" s="340"/>
      <c r="F74" s="7"/>
      <c r="G74" s="140" t="s">
        <v>222</v>
      </c>
      <c r="H74" s="140"/>
      <c r="I74" s="140"/>
      <c r="J74" s="6"/>
      <c r="K74" s="140"/>
      <c r="L74" s="140"/>
      <c r="M74" s="6"/>
      <c r="N74" s="146">
        <v>45664.712638888886</v>
      </c>
      <c r="O74" s="140"/>
      <c r="P74" s="140"/>
      <c r="Q74" s="6"/>
      <c r="R74" s="140"/>
      <c r="S74" s="140"/>
      <c r="T74" s="7"/>
      <c r="U74" s="140" t="s">
        <v>223</v>
      </c>
      <c r="V74" s="140"/>
      <c r="W74" s="140"/>
      <c r="X74" s="6"/>
      <c r="Y74" s="140"/>
      <c r="Z74" s="140"/>
      <c r="AA74" s="7"/>
      <c r="AB74" s="146">
        <v>45723.747581018521</v>
      </c>
      <c r="AC74" s="140"/>
      <c r="AD74" s="140"/>
      <c r="AE74" s="6"/>
      <c r="AF74" s="140"/>
      <c r="AG74" s="140"/>
      <c r="AH74" s="7"/>
      <c r="AI74" s="140" t="s">
        <v>224</v>
      </c>
      <c r="AJ74" s="140"/>
      <c r="AK74" s="140"/>
      <c r="AL74" s="6"/>
      <c r="AM74" s="140"/>
      <c r="AN74" s="140"/>
      <c r="AO74" s="13"/>
      <c r="AP74" s="113"/>
      <c r="AQ74" s="47"/>
      <c r="AR74" s="47"/>
      <c r="AS74" s="114"/>
    </row>
    <row r="75" spans="1:49">
      <c r="A75" s="332" t="s">
        <v>225</v>
      </c>
      <c r="B75" s="333"/>
      <c r="C75" s="333"/>
      <c r="D75" s="333"/>
      <c r="E75" s="333"/>
      <c r="F75" s="9"/>
      <c r="G75" s="3" t="s">
        <v>11</v>
      </c>
      <c r="H75" s="139" t="s">
        <v>12</v>
      </c>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39"/>
      <c r="AH75" s="139"/>
      <c r="AI75" s="139"/>
      <c r="AJ75" s="139"/>
      <c r="AK75" s="139"/>
      <c r="AL75" s="8"/>
      <c r="AM75" s="149"/>
      <c r="AN75" s="149"/>
      <c r="AO75" s="16"/>
      <c r="AP75" s="115"/>
      <c r="AQ75" s="9"/>
      <c r="AR75" s="9"/>
      <c r="AS75" s="16"/>
    </row>
    <row r="76" spans="1:49">
      <c r="A76" s="332"/>
      <c r="B76" s="333"/>
      <c r="C76" s="333"/>
      <c r="D76" s="333"/>
      <c r="E76" s="333"/>
      <c r="F76" s="9"/>
      <c r="G76" s="155">
        <v>45754.747523148151</v>
      </c>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8"/>
      <c r="AM76" s="149"/>
      <c r="AN76" s="149"/>
      <c r="AO76" s="16"/>
      <c r="AP76" s="115"/>
      <c r="AQ76" s="9"/>
      <c r="AR76" s="9"/>
      <c r="AS76" s="16"/>
    </row>
    <row r="77" spans="1:49">
      <c r="A77" s="10"/>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7"/>
      <c r="AP77" s="116"/>
      <c r="AQ77" s="103"/>
      <c r="AR77" s="103"/>
      <c r="AS77" s="117"/>
    </row>
    <row r="78" spans="1:49" ht="15.6">
      <c r="A78" s="326" t="s">
        <v>226</v>
      </c>
      <c r="B78" s="327"/>
      <c r="C78" s="327"/>
      <c r="D78" s="327"/>
      <c r="E78" s="328"/>
      <c r="F78" s="294"/>
      <c r="G78" s="295"/>
      <c r="H78" s="295"/>
      <c r="I78" s="295"/>
      <c r="J78" s="295"/>
      <c r="K78" s="295"/>
      <c r="L78" s="295"/>
      <c r="M78" s="295"/>
      <c r="N78" s="295"/>
      <c r="O78" s="295"/>
      <c r="P78" s="295"/>
      <c r="Q78" s="295"/>
      <c r="R78" s="295"/>
      <c r="S78" s="295"/>
      <c r="T78" s="295"/>
      <c r="U78" s="295"/>
      <c r="V78" s="295"/>
      <c r="W78" s="295"/>
      <c r="X78" s="295"/>
      <c r="Y78" s="295"/>
      <c r="Z78" s="295"/>
      <c r="AA78" s="295"/>
      <c r="AB78" s="295"/>
      <c r="AC78" s="295"/>
      <c r="AD78" s="295"/>
      <c r="AE78" s="295"/>
      <c r="AF78" s="295"/>
      <c r="AG78" s="295"/>
      <c r="AH78" s="295"/>
      <c r="AI78" s="295"/>
      <c r="AJ78" s="295"/>
      <c r="AK78" s="295"/>
      <c r="AL78" s="295"/>
      <c r="AM78" s="295"/>
      <c r="AN78" s="295"/>
      <c r="AO78" s="296"/>
      <c r="AP78" s="112"/>
      <c r="AQ78" s="39"/>
      <c r="AR78" s="39"/>
      <c r="AS78" s="40"/>
    </row>
    <row r="79" spans="1:49">
      <c r="A79" s="334" t="s">
        <v>227</v>
      </c>
      <c r="B79" s="335"/>
      <c r="C79" s="335"/>
      <c r="D79" s="335"/>
      <c r="E79" s="336"/>
      <c r="F79" s="9"/>
      <c r="G79" s="3" t="s">
        <v>11</v>
      </c>
      <c r="H79" s="139" t="s">
        <v>130</v>
      </c>
      <c r="I79" s="139"/>
      <c r="J79" s="8"/>
      <c r="K79" s="139">
        <v>0</v>
      </c>
      <c r="L79" s="139"/>
      <c r="M79" s="8"/>
      <c r="N79" s="3" t="s">
        <v>11</v>
      </c>
      <c r="O79" s="139" t="s">
        <v>130</v>
      </c>
      <c r="P79" s="139"/>
      <c r="Q79" s="8"/>
      <c r="R79" s="139">
        <v>0</v>
      </c>
      <c r="S79" s="139"/>
      <c r="T79" s="8"/>
      <c r="U79" s="3" t="s">
        <v>11</v>
      </c>
      <c r="V79" s="139" t="s">
        <v>130</v>
      </c>
      <c r="W79" s="139"/>
      <c r="X79" s="8"/>
      <c r="Y79" s="139">
        <v>0</v>
      </c>
      <c r="Z79" s="139"/>
      <c r="AA79" s="8"/>
      <c r="AB79" s="3" t="s">
        <v>11</v>
      </c>
      <c r="AC79" s="139" t="s">
        <v>130</v>
      </c>
      <c r="AD79" s="139"/>
      <c r="AE79" s="8"/>
      <c r="AF79" s="139">
        <v>0</v>
      </c>
      <c r="AG79" s="139"/>
      <c r="AH79" s="8"/>
      <c r="AI79" s="3" t="s">
        <v>11</v>
      </c>
      <c r="AJ79" s="139" t="s">
        <v>130</v>
      </c>
      <c r="AK79" s="139"/>
      <c r="AL79" s="8"/>
      <c r="AM79" s="139">
        <v>0</v>
      </c>
      <c r="AN79" s="139"/>
      <c r="AO79" s="36"/>
      <c r="AP79" s="115"/>
      <c r="AQ79" s="141">
        <f>K79+R79+Y79+AF79+AM79</f>
        <v>0</v>
      </c>
      <c r="AR79" s="142"/>
      <c r="AS79" s="16"/>
    </row>
    <row r="80" spans="1:49">
      <c r="A80" s="337"/>
      <c r="B80" s="333"/>
      <c r="C80" s="333"/>
      <c r="D80" s="333"/>
      <c r="E80" s="338"/>
      <c r="F80" s="9"/>
      <c r="G80" s="149" t="s">
        <v>228</v>
      </c>
      <c r="H80" s="149"/>
      <c r="I80" s="149"/>
      <c r="J80" s="8"/>
      <c r="K80" s="149"/>
      <c r="L80" s="149"/>
      <c r="M80" s="8"/>
      <c r="N80" s="155">
        <v>45664.701666666668</v>
      </c>
      <c r="O80" s="149"/>
      <c r="P80" s="149"/>
      <c r="Q80" s="8"/>
      <c r="R80" s="149"/>
      <c r="S80" s="149"/>
      <c r="T80" s="8"/>
      <c r="U80" s="155">
        <v>45695.690150462964</v>
      </c>
      <c r="V80" s="149"/>
      <c r="W80" s="149"/>
      <c r="X80" s="8"/>
      <c r="Y80" s="149"/>
      <c r="Z80" s="149"/>
      <c r="AA80" s="8"/>
      <c r="AB80" s="155">
        <v>45723.698391203703</v>
      </c>
      <c r="AC80" s="149"/>
      <c r="AD80" s="149"/>
      <c r="AE80" s="8"/>
      <c r="AF80" s="149"/>
      <c r="AG80" s="149"/>
      <c r="AH80" s="8"/>
      <c r="AI80" s="155">
        <v>45754.671666666669</v>
      </c>
      <c r="AJ80" s="149"/>
      <c r="AK80" s="149"/>
      <c r="AL80" s="8"/>
      <c r="AM80" s="149"/>
      <c r="AN80" s="149"/>
      <c r="AO80" s="36"/>
      <c r="AP80" s="115"/>
      <c r="AQ80" s="9"/>
      <c r="AR80" s="9"/>
      <c r="AS80" s="16"/>
    </row>
    <row r="81" spans="1:45">
      <c r="A81" s="341" t="s">
        <v>229</v>
      </c>
      <c r="B81" s="340"/>
      <c r="C81" s="340"/>
      <c r="D81" s="340"/>
      <c r="E81" s="342"/>
      <c r="F81" s="7"/>
      <c r="G81" s="346"/>
      <c r="H81" s="346"/>
      <c r="I81" s="346"/>
      <c r="J81" s="38"/>
      <c r="K81" s="38"/>
      <c r="L81" s="38"/>
      <c r="M81" s="6"/>
      <c r="N81" s="3" t="s">
        <v>11</v>
      </c>
      <c r="O81" s="139" t="s">
        <v>130</v>
      </c>
      <c r="P81" s="139"/>
      <c r="Q81" s="6"/>
      <c r="R81" s="140"/>
      <c r="S81" s="140"/>
      <c r="T81" s="6"/>
      <c r="U81" s="346"/>
      <c r="V81" s="346"/>
      <c r="W81" s="346"/>
      <c r="X81" s="346"/>
      <c r="Y81" s="346"/>
      <c r="Z81" s="346"/>
      <c r="AA81" s="7"/>
      <c r="AB81" s="7"/>
      <c r="AC81" s="7"/>
      <c r="AD81" s="7"/>
      <c r="AE81" s="6"/>
      <c r="AF81" s="6"/>
      <c r="AG81" s="6"/>
      <c r="AH81" s="7"/>
      <c r="AI81" s="3" t="s">
        <v>11</v>
      </c>
      <c r="AJ81" s="139" t="s">
        <v>130</v>
      </c>
      <c r="AK81" s="139"/>
      <c r="AL81" s="6"/>
      <c r="AM81" s="140"/>
      <c r="AN81" s="140"/>
      <c r="AO81" s="13"/>
      <c r="AP81" s="113"/>
      <c r="AQ81" s="47"/>
      <c r="AR81" s="47"/>
      <c r="AS81" s="114"/>
    </row>
    <row r="82" spans="1:45">
      <c r="A82" s="341"/>
      <c r="B82" s="340"/>
      <c r="C82" s="340"/>
      <c r="D82" s="340"/>
      <c r="E82" s="342"/>
      <c r="F82" s="7"/>
      <c r="G82" s="347"/>
      <c r="H82" s="347"/>
      <c r="I82" s="347"/>
      <c r="J82" s="38"/>
      <c r="K82" s="140"/>
      <c r="L82" s="140"/>
      <c r="M82" s="6"/>
      <c r="N82" s="146">
        <v>45664.701724537037</v>
      </c>
      <c r="O82" s="140"/>
      <c r="P82" s="140"/>
      <c r="Q82" s="6"/>
      <c r="R82" s="140"/>
      <c r="S82" s="140"/>
      <c r="T82" s="6"/>
      <c r="U82" s="347"/>
      <c r="V82" s="347"/>
      <c r="W82" s="347"/>
      <c r="X82" s="347"/>
      <c r="Y82" s="347"/>
      <c r="Z82" s="347"/>
      <c r="AA82" s="7"/>
      <c r="AB82" s="7"/>
      <c r="AC82" s="7"/>
      <c r="AD82" s="7"/>
      <c r="AE82" s="6"/>
      <c r="AF82" s="6"/>
      <c r="AG82" s="6"/>
      <c r="AH82" s="7"/>
      <c r="AI82" s="146">
        <v>45754.671678240738</v>
      </c>
      <c r="AJ82" s="140"/>
      <c r="AK82" s="140"/>
      <c r="AL82" s="6"/>
      <c r="AM82" s="6"/>
      <c r="AN82" s="6"/>
      <c r="AO82" s="13"/>
      <c r="AP82" s="113"/>
      <c r="AQ82" s="47"/>
      <c r="AR82" s="47"/>
      <c r="AS82" s="114"/>
    </row>
    <row r="83" spans="1:45">
      <c r="A83" s="337" t="s">
        <v>230</v>
      </c>
      <c r="B83" s="333"/>
      <c r="C83" s="333"/>
      <c r="D83" s="333"/>
      <c r="E83" s="338"/>
      <c r="F83" s="9"/>
      <c r="G83" s="3" t="s">
        <v>11</v>
      </c>
      <c r="H83" s="139" t="s">
        <v>130</v>
      </c>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8"/>
      <c r="AM83" s="139">
        <v>253</v>
      </c>
      <c r="AN83" s="139"/>
      <c r="AO83" s="16"/>
      <c r="AP83" s="115"/>
      <c r="AQ83" s="141">
        <f>AM83</f>
        <v>253</v>
      </c>
      <c r="AR83" s="142"/>
      <c r="AS83" s="16"/>
    </row>
    <row r="84" spans="1:45">
      <c r="A84" s="337"/>
      <c r="B84" s="333"/>
      <c r="C84" s="333"/>
      <c r="D84" s="333"/>
      <c r="E84" s="338"/>
      <c r="F84" s="9"/>
      <c r="G84" s="155">
        <v>45754.671932870369</v>
      </c>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49"/>
      <c r="AK84" s="149"/>
      <c r="AL84" s="8"/>
      <c r="AM84" s="8"/>
      <c r="AN84" s="8"/>
      <c r="AO84" s="16"/>
      <c r="AP84" s="115"/>
      <c r="AQ84" s="9"/>
      <c r="AR84" s="9"/>
      <c r="AS84" s="16"/>
    </row>
    <row r="85" spans="1:45" s="2" customFormat="1">
      <c r="A85" s="341" t="s">
        <v>31</v>
      </c>
      <c r="B85" s="340"/>
      <c r="C85" s="340"/>
      <c r="D85" s="340"/>
      <c r="E85" s="342"/>
      <c r="F85" s="7"/>
      <c r="G85" s="3" t="s">
        <v>11</v>
      </c>
      <c r="H85" s="139" t="s">
        <v>130</v>
      </c>
      <c r="I85" s="139"/>
      <c r="J85" s="38"/>
      <c r="K85" s="38"/>
      <c r="L85" s="38"/>
      <c r="M85" s="6"/>
      <c r="N85" s="3" t="s">
        <v>11</v>
      </c>
      <c r="O85" s="139" t="s">
        <v>130</v>
      </c>
      <c r="P85" s="139"/>
      <c r="Q85" s="38"/>
      <c r="R85" s="38"/>
      <c r="S85" s="38"/>
      <c r="T85" s="6"/>
      <c r="U85" s="3" t="s">
        <v>11</v>
      </c>
      <c r="V85" s="139" t="s">
        <v>130</v>
      </c>
      <c r="W85" s="139"/>
      <c r="X85" s="38"/>
      <c r="Y85" s="38"/>
      <c r="Z85" s="38"/>
      <c r="AA85" s="6"/>
      <c r="AB85" s="3" t="s">
        <v>11</v>
      </c>
      <c r="AC85" s="139" t="s">
        <v>130</v>
      </c>
      <c r="AD85" s="139"/>
      <c r="AE85" s="38"/>
      <c r="AF85" s="38"/>
      <c r="AG85" s="38"/>
      <c r="AH85" s="6"/>
      <c r="AI85" s="3" t="s">
        <v>11</v>
      </c>
      <c r="AJ85" s="139" t="s">
        <v>130</v>
      </c>
      <c r="AK85" s="139"/>
      <c r="AL85" s="38"/>
      <c r="AM85" s="38"/>
      <c r="AN85" s="38"/>
      <c r="AO85" s="35"/>
      <c r="AP85" s="113"/>
      <c r="AQ85" s="47"/>
      <c r="AR85" s="47"/>
      <c r="AS85" s="114"/>
    </row>
    <row r="86" spans="1:45" s="2" customFormat="1">
      <c r="A86" s="343"/>
      <c r="B86" s="344"/>
      <c r="C86" s="344"/>
      <c r="D86" s="344"/>
      <c r="E86" s="345"/>
      <c r="F86" s="7"/>
      <c r="G86" s="140" t="s">
        <v>231</v>
      </c>
      <c r="H86" s="140"/>
      <c r="I86" s="140"/>
      <c r="J86" s="38"/>
      <c r="K86" s="38"/>
      <c r="L86" s="38"/>
      <c r="M86" s="6"/>
      <c r="N86" s="146">
        <v>45664.701747685183</v>
      </c>
      <c r="O86" s="140"/>
      <c r="P86" s="140"/>
      <c r="Q86" s="38"/>
      <c r="R86" s="38"/>
      <c r="S86" s="38"/>
      <c r="T86" s="6"/>
      <c r="U86" s="146">
        <v>45695.690196759257</v>
      </c>
      <c r="V86" s="140"/>
      <c r="W86" s="140"/>
      <c r="X86" s="38"/>
      <c r="Y86" s="38"/>
      <c r="Z86" s="38"/>
      <c r="AA86" s="6"/>
      <c r="AB86" s="146">
        <v>45723.698472222219</v>
      </c>
      <c r="AC86" s="140"/>
      <c r="AD86" s="140"/>
      <c r="AE86" s="38"/>
      <c r="AF86" s="38"/>
      <c r="AG86" s="38"/>
      <c r="AH86" s="6"/>
      <c r="AI86" s="146">
        <v>45754.671701388892</v>
      </c>
      <c r="AJ86" s="140"/>
      <c r="AK86" s="140"/>
      <c r="AL86" s="38"/>
      <c r="AM86" s="38"/>
      <c r="AN86" s="38"/>
      <c r="AO86" s="35"/>
      <c r="AP86" s="113"/>
      <c r="AQ86" s="47"/>
      <c r="AR86" s="47"/>
      <c r="AS86" s="114"/>
    </row>
    <row r="87" spans="1:45" ht="15.6">
      <c r="A87" s="320" t="s">
        <v>232</v>
      </c>
      <c r="B87" s="321"/>
      <c r="C87" s="321"/>
      <c r="D87" s="321"/>
      <c r="E87" s="321"/>
      <c r="F87" s="39"/>
      <c r="G87" s="39"/>
      <c r="H87" s="39"/>
      <c r="I87" s="39"/>
      <c r="J87" s="37"/>
      <c r="K87" s="37"/>
      <c r="L87" s="37"/>
      <c r="M87" s="39"/>
      <c r="N87" s="39"/>
      <c r="O87" s="39"/>
      <c r="P87" s="39"/>
      <c r="Q87" s="37"/>
      <c r="R87" s="37"/>
      <c r="S87" s="37"/>
      <c r="T87" s="39"/>
      <c r="U87" s="39"/>
      <c r="V87" s="39"/>
      <c r="W87" s="39"/>
      <c r="X87" s="37"/>
      <c r="Y87" s="37"/>
      <c r="Z87" s="37"/>
      <c r="AA87" s="39"/>
      <c r="AB87" s="39"/>
      <c r="AC87" s="39"/>
      <c r="AD87" s="39"/>
      <c r="AE87" s="37"/>
      <c r="AF87" s="37"/>
      <c r="AG87" s="37"/>
      <c r="AH87" s="39"/>
      <c r="AI87" s="39"/>
      <c r="AJ87" s="39"/>
      <c r="AK87" s="39"/>
      <c r="AL87" s="37"/>
      <c r="AM87" s="37"/>
      <c r="AN87" s="37"/>
      <c r="AO87" s="40"/>
      <c r="AP87" s="112"/>
      <c r="AQ87" s="39"/>
      <c r="AR87" s="39"/>
      <c r="AS87" s="40"/>
    </row>
    <row r="88" spans="1:45">
      <c r="A88" s="292" t="s">
        <v>233</v>
      </c>
      <c r="B88" s="293"/>
      <c r="C88" s="293"/>
      <c r="D88" s="293"/>
      <c r="E88" s="293"/>
      <c r="F88" s="7"/>
      <c r="G88" s="3" t="s">
        <v>11</v>
      </c>
      <c r="H88" s="139" t="s">
        <v>130</v>
      </c>
      <c r="I88" s="139"/>
      <c r="J88" s="38"/>
      <c r="K88" s="139">
        <v>0</v>
      </c>
      <c r="L88" s="139"/>
      <c r="M88" s="6"/>
      <c r="N88" s="3" t="s">
        <v>11</v>
      </c>
      <c r="O88" s="139" t="s">
        <v>130</v>
      </c>
      <c r="P88" s="139"/>
      <c r="Q88" s="38"/>
      <c r="R88" s="139">
        <v>0</v>
      </c>
      <c r="S88" s="139"/>
      <c r="T88" s="6"/>
      <c r="U88" s="3" t="s">
        <v>11</v>
      </c>
      <c r="V88" s="139" t="s">
        <v>130</v>
      </c>
      <c r="W88" s="139"/>
      <c r="X88" s="38"/>
      <c r="Y88" s="139">
        <v>1</v>
      </c>
      <c r="Z88" s="139"/>
      <c r="AA88" s="6"/>
      <c r="AB88" s="3" t="s">
        <v>11</v>
      </c>
      <c r="AC88" s="139" t="s">
        <v>130</v>
      </c>
      <c r="AD88" s="139"/>
      <c r="AE88" s="38"/>
      <c r="AF88" s="139">
        <v>0</v>
      </c>
      <c r="AG88" s="139"/>
      <c r="AH88" s="6"/>
      <c r="AI88" s="3" t="s">
        <v>11</v>
      </c>
      <c r="AJ88" s="139" t="s">
        <v>130</v>
      </c>
      <c r="AK88" s="139"/>
      <c r="AL88" s="38"/>
      <c r="AM88" s="139">
        <v>0</v>
      </c>
      <c r="AN88" s="139"/>
      <c r="AO88" s="35"/>
      <c r="AP88" s="113"/>
      <c r="AQ88" s="141">
        <f>K88+R88+Y88+AF88+AM88</f>
        <v>1</v>
      </c>
      <c r="AR88" s="142"/>
      <c r="AS88" s="114"/>
    </row>
    <row r="89" spans="1:45">
      <c r="A89" s="292"/>
      <c r="B89" s="293"/>
      <c r="C89" s="293"/>
      <c r="D89" s="293"/>
      <c r="E89" s="293"/>
      <c r="F89" s="7"/>
      <c r="G89" s="140" t="s">
        <v>234</v>
      </c>
      <c r="H89" s="140"/>
      <c r="I89" s="140"/>
      <c r="J89" s="38"/>
      <c r="K89" s="38"/>
      <c r="L89" s="38"/>
      <c r="M89" s="6"/>
      <c r="N89" s="146">
        <v>45664.701782407406</v>
      </c>
      <c r="O89" s="140"/>
      <c r="P89" s="140"/>
      <c r="Q89" s="38"/>
      <c r="R89" s="38"/>
      <c r="S89" s="38"/>
      <c r="T89" s="6"/>
      <c r="U89" s="146">
        <v>45695.69021990741</v>
      </c>
      <c r="V89" s="140"/>
      <c r="W89" s="140"/>
      <c r="X89" s="38"/>
      <c r="Y89" s="38"/>
      <c r="Z89" s="38"/>
      <c r="AA89" s="6"/>
      <c r="AB89" s="146">
        <v>45723.698483796295</v>
      </c>
      <c r="AC89" s="140"/>
      <c r="AD89" s="140"/>
      <c r="AE89" s="38"/>
      <c r="AF89" s="38"/>
      <c r="AG89" s="38"/>
      <c r="AH89" s="6"/>
      <c r="AI89" s="146">
        <v>45754.671712962961</v>
      </c>
      <c r="AJ89" s="140"/>
      <c r="AK89" s="140"/>
      <c r="AL89" s="38"/>
      <c r="AM89" s="38"/>
      <c r="AN89" s="38"/>
      <c r="AO89" s="35"/>
      <c r="AP89" s="113"/>
      <c r="AQ89" s="47"/>
      <c r="AR89" s="47"/>
      <c r="AS89" s="114"/>
    </row>
    <row r="90" spans="1:45">
      <c r="A90" s="332" t="s">
        <v>235</v>
      </c>
      <c r="B90" s="333"/>
      <c r="C90" s="333"/>
      <c r="D90" s="333"/>
      <c r="E90" s="333"/>
      <c r="F90" s="9"/>
      <c r="G90" s="3" t="s">
        <v>17</v>
      </c>
      <c r="H90" s="139" t="s">
        <v>236</v>
      </c>
      <c r="I90" s="139"/>
      <c r="J90" s="139"/>
      <c r="K90" s="139"/>
      <c r="L90" s="139"/>
      <c r="M90" s="139"/>
      <c r="N90" s="139"/>
      <c r="O90" s="139"/>
      <c r="P90" s="139"/>
      <c r="Q90" s="139"/>
      <c r="R90" s="139"/>
      <c r="S90" s="139"/>
      <c r="T90" s="139"/>
      <c r="U90" s="139"/>
      <c r="V90" s="139"/>
      <c r="W90" s="139"/>
      <c r="X90" s="139"/>
      <c r="Y90" s="139"/>
      <c r="Z90" s="139"/>
      <c r="AA90" s="139"/>
      <c r="AB90" s="139"/>
      <c r="AC90" s="139"/>
      <c r="AD90" s="139"/>
      <c r="AE90" s="139"/>
      <c r="AF90" s="139"/>
      <c r="AG90" s="139"/>
      <c r="AH90" s="139"/>
      <c r="AI90" s="139"/>
      <c r="AJ90" s="139"/>
      <c r="AK90" s="139"/>
      <c r="AL90" s="8"/>
      <c r="AM90" s="139">
        <v>0</v>
      </c>
      <c r="AN90" s="139"/>
      <c r="AO90" s="16"/>
      <c r="AP90" s="115"/>
      <c r="AQ90" s="141">
        <f>AM90</f>
        <v>0</v>
      </c>
      <c r="AR90" s="142"/>
      <c r="AS90" s="16"/>
    </row>
    <row r="91" spans="1:45">
      <c r="A91" s="332"/>
      <c r="B91" s="333"/>
      <c r="C91" s="333"/>
      <c r="D91" s="333"/>
      <c r="E91" s="333"/>
      <c r="F91" s="9"/>
      <c r="G91" s="149" t="s">
        <v>237</v>
      </c>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49"/>
      <c r="AK91" s="149"/>
      <c r="AL91" s="8"/>
      <c r="AM91" s="8"/>
      <c r="AN91" s="8"/>
      <c r="AO91" s="16"/>
      <c r="AP91" s="115"/>
      <c r="AQ91" s="9"/>
      <c r="AR91" s="9"/>
      <c r="AS91" s="16"/>
    </row>
    <row r="92" spans="1:45">
      <c r="A92" s="292" t="s">
        <v>238</v>
      </c>
      <c r="B92" s="293"/>
      <c r="C92" s="293"/>
      <c r="D92" s="293"/>
      <c r="E92" s="293"/>
      <c r="F92" s="7"/>
      <c r="G92" s="7"/>
      <c r="H92" s="7"/>
      <c r="I92" s="7"/>
      <c r="J92" s="7"/>
      <c r="K92" s="7"/>
      <c r="L92" s="7"/>
      <c r="M92" s="7"/>
      <c r="N92" s="3" t="s">
        <v>11</v>
      </c>
      <c r="O92" s="139" t="s">
        <v>130</v>
      </c>
      <c r="P92" s="139"/>
      <c r="Q92" s="7"/>
      <c r="R92" s="139">
        <v>2</v>
      </c>
      <c r="S92" s="139"/>
      <c r="T92" s="7"/>
      <c r="U92" s="7"/>
      <c r="V92" s="7"/>
      <c r="W92" s="7"/>
      <c r="X92" s="7"/>
      <c r="Y92" s="7"/>
      <c r="Z92" s="7"/>
      <c r="AA92" s="7"/>
      <c r="AB92" s="7"/>
      <c r="AC92" s="7"/>
      <c r="AD92" s="7"/>
      <c r="AE92" s="7"/>
      <c r="AF92" s="7"/>
      <c r="AG92" s="7"/>
      <c r="AH92" s="7"/>
      <c r="AI92" s="7"/>
      <c r="AJ92" s="7"/>
      <c r="AK92" s="7"/>
      <c r="AL92" s="7"/>
      <c r="AM92" s="7"/>
      <c r="AN92" s="7"/>
      <c r="AO92" s="13"/>
      <c r="AP92" s="113"/>
      <c r="AQ92" s="141">
        <f>R92</f>
        <v>2</v>
      </c>
      <c r="AR92" s="142"/>
      <c r="AS92" s="114"/>
    </row>
    <row r="93" spans="1:45" ht="15" thickBot="1">
      <c r="A93" s="292"/>
      <c r="B93" s="293"/>
      <c r="C93" s="293"/>
      <c r="D93" s="293"/>
      <c r="E93" s="293"/>
      <c r="F93" s="28"/>
      <c r="G93" s="41"/>
      <c r="H93" s="41"/>
      <c r="I93" s="41"/>
      <c r="J93" s="41"/>
      <c r="K93" s="28"/>
      <c r="L93" s="28"/>
      <c r="M93" s="28"/>
      <c r="N93" s="297">
        <v>45664.701805555553</v>
      </c>
      <c r="O93" s="298"/>
      <c r="P93" s="29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9"/>
      <c r="AP93" s="118"/>
      <c r="AQ93" s="41"/>
      <c r="AR93" s="41"/>
      <c r="AS93" s="119"/>
    </row>
    <row r="94" spans="1:45" ht="15" thickTop="1">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row>
  </sheetData>
  <mergeCells count="803">
    <mergeCell ref="AM8:AN8"/>
    <mergeCell ref="AM9:AN9"/>
    <mergeCell ref="AM10:AN10"/>
    <mergeCell ref="AF16:AG16"/>
    <mergeCell ref="AF17:AG17"/>
    <mergeCell ref="AF18:AG18"/>
    <mergeCell ref="AF19:AG19"/>
    <mergeCell ref="AM63:AN63"/>
    <mergeCell ref="AM5:AN5"/>
    <mergeCell ref="AM34:AN34"/>
    <mergeCell ref="AM35:AN35"/>
    <mergeCell ref="AM36:AN36"/>
    <mergeCell ref="AM37:AN37"/>
    <mergeCell ref="AM38:AN38"/>
    <mergeCell ref="AM39:AN39"/>
    <mergeCell ref="AJ35:AK35"/>
    <mergeCell ref="AJ27:AK27"/>
    <mergeCell ref="AI5:AJ5"/>
    <mergeCell ref="AF5:AG5"/>
    <mergeCell ref="AF8:AG8"/>
    <mergeCell ref="AF9:AG9"/>
    <mergeCell ref="AF10:AG10"/>
    <mergeCell ref="AF11:AG11"/>
    <mergeCell ref="AF12:AG12"/>
    <mergeCell ref="AI14:AK14"/>
    <mergeCell ref="AC11:AD11"/>
    <mergeCell ref="AB12:AD12"/>
    <mergeCell ref="AC13:AD13"/>
    <mergeCell ref="AC17:AD17"/>
    <mergeCell ref="AB18:AD18"/>
    <mergeCell ref="AC19:AD19"/>
    <mergeCell ref="AB20:AD20"/>
    <mergeCell ref="AC21:AD21"/>
    <mergeCell ref="AF21:AG21"/>
    <mergeCell ref="AB14:AD14"/>
    <mergeCell ref="AC15:AD15"/>
    <mergeCell ref="AB16:AD16"/>
    <mergeCell ref="AF13:AG13"/>
    <mergeCell ref="AF14:AG14"/>
    <mergeCell ref="AF15:AG15"/>
    <mergeCell ref="AM48:AN48"/>
    <mergeCell ref="AF55:AG55"/>
    <mergeCell ref="AJ55:AK55"/>
    <mergeCell ref="AI54:AK54"/>
    <mergeCell ref="AJ57:AK57"/>
    <mergeCell ref="AI36:AK36"/>
    <mergeCell ref="AJ37:AK37"/>
    <mergeCell ref="AC31:AD31"/>
    <mergeCell ref="AM15:AN15"/>
    <mergeCell ref="AM16:AN16"/>
    <mergeCell ref="AM40:AN40"/>
    <mergeCell ref="AM41:AN41"/>
    <mergeCell ref="AM30:AN30"/>
    <mergeCell ref="AM33:AN33"/>
    <mergeCell ref="AM17:AN17"/>
    <mergeCell ref="AM18:AN18"/>
    <mergeCell ref="AM19:AN19"/>
    <mergeCell ref="AM20:AN20"/>
    <mergeCell ref="AM21:AN21"/>
    <mergeCell ref="AM22:AN22"/>
    <mergeCell ref="AM23:AN23"/>
    <mergeCell ref="AM24:AN24"/>
    <mergeCell ref="AF22:AG22"/>
    <mergeCell ref="AF23:AG23"/>
    <mergeCell ref="Y27:Z27"/>
    <mergeCell ref="Y35:Z35"/>
    <mergeCell ref="Y36:Z36"/>
    <mergeCell ref="Y28:Z28"/>
    <mergeCell ref="Y34:Z34"/>
    <mergeCell ref="Y56:Z56"/>
    <mergeCell ref="Y57:Z57"/>
    <mergeCell ref="Y41:Z41"/>
    <mergeCell ref="Y42:Z42"/>
    <mergeCell ref="Y31:Z31"/>
    <mergeCell ref="Y32:Z32"/>
    <mergeCell ref="Y33:Z33"/>
    <mergeCell ref="R56:S56"/>
    <mergeCell ref="R57:S57"/>
    <mergeCell ref="R58:S58"/>
    <mergeCell ref="K44:L44"/>
    <mergeCell ref="K47:L47"/>
    <mergeCell ref="K48:L48"/>
    <mergeCell ref="K49:L49"/>
    <mergeCell ref="R35:S35"/>
    <mergeCell ref="K50:L50"/>
    <mergeCell ref="K51:L51"/>
    <mergeCell ref="F46:AS46"/>
    <mergeCell ref="Y38:Z38"/>
    <mergeCell ref="Y39:Z39"/>
    <mergeCell ref="Y40:Z40"/>
    <mergeCell ref="Y58:Z58"/>
    <mergeCell ref="AM49:AN49"/>
    <mergeCell ref="AM50:AN50"/>
    <mergeCell ref="AM51:AN51"/>
    <mergeCell ref="AM52:AN52"/>
    <mergeCell ref="AM53:AN53"/>
    <mergeCell ref="AM54:AN54"/>
    <mergeCell ref="AM55:AN55"/>
    <mergeCell ref="AM56:AN56"/>
    <mergeCell ref="AM57:AN57"/>
    <mergeCell ref="A85:E86"/>
    <mergeCell ref="H85:I85"/>
    <mergeCell ref="A75:E76"/>
    <mergeCell ref="H75:AK75"/>
    <mergeCell ref="U81:Z82"/>
    <mergeCell ref="G81:I82"/>
    <mergeCell ref="G80:I80"/>
    <mergeCell ref="N80:P80"/>
    <mergeCell ref="U80:W80"/>
    <mergeCell ref="A83:E84"/>
    <mergeCell ref="H83:AK83"/>
    <mergeCell ref="G84:AK84"/>
    <mergeCell ref="A81:E82"/>
    <mergeCell ref="O81:P81"/>
    <mergeCell ref="AJ81:AK81"/>
    <mergeCell ref="N82:P82"/>
    <mergeCell ref="AI82:AK82"/>
    <mergeCell ref="AJ79:AK79"/>
    <mergeCell ref="R79:S79"/>
    <mergeCell ref="R80:S80"/>
    <mergeCell ref="R81:S81"/>
    <mergeCell ref="R82:S82"/>
    <mergeCell ref="K82:L82"/>
    <mergeCell ref="G76:AK76"/>
    <mergeCell ref="A63:E64"/>
    <mergeCell ref="A66:E66"/>
    <mergeCell ref="AP40:AR40"/>
    <mergeCell ref="G44:I44"/>
    <mergeCell ref="N44:P44"/>
    <mergeCell ref="U44:W44"/>
    <mergeCell ref="AI40:AK40"/>
    <mergeCell ref="K42:L42"/>
    <mergeCell ref="K43:L43"/>
    <mergeCell ref="AP44:AR44"/>
    <mergeCell ref="H43:I43"/>
    <mergeCell ref="AI44:AK44"/>
    <mergeCell ref="Y44:Z44"/>
    <mergeCell ref="AM44:AN44"/>
    <mergeCell ref="AB44:AD44"/>
    <mergeCell ref="AF44:AG44"/>
    <mergeCell ref="R40:S40"/>
    <mergeCell ref="R41:S41"/>
    <mergeCell ref="R42:S42"/>
    <mergeCell ref="H47:I47"/>
    <mergeCell ref="K41:L41"/>
    <mergeCell ref="K40:L40"/>
    <mergeCell ref="AI48:AK48"/>
    <mergeCell ref="AP48:AR48"/>
    <mergeCell ref="K17:L17"/>
    <mergeCell ref="K18:L18"/>
    <mergeCell ref="K19:L19"/>
    <mergeCell ref="O27:P27"/>
    <mergeCell ref="O17:P17"/>
    <mergeCell ref="G28:I28"/>
    <mergeCell ref="N28:P28"/>
    <mergeCell ref="A59:E60"/>
    <mergeCell ref="A61:E62"/>
    <mergeCell ref="K21:L21"/>
    <mergeCell ref="K22:L22"/>
    <mergeCell ref="K23:L23"/>
    <mergeCell ref="K24:L24"/>
    <mergeCell ref="K27:L27"/>
    <mergeCell ref="K28:L28"/>
    <mergeCell ref="K29:L29"/>
    <mergeCell ref="K30:L30"/>
    <mergeCell ref="K38:L38"/>
    <mergeCell ref="K39:L39"/>
    <mergeCell ref="H49:I49"/>
    <mergeCell ref="O49:P49"/>
    <mergeCell ref="O47:P47"/>
    <mergeCell ref="G48:I48"/>
    <mergeCell ref="N48:P48"/>
    <mergeCell ref="N32:P32"/>
    <mergeCell ref="K31:L31"/>
    <mergeCell ref="K32:L32"/>
    <mergeCell ref="K33:L33"/>
    <mergeCell ref="H37:I37"/>
    <mergeCell ref="O37:P37"/>
    <mergeCell ref="G38:I38"/>
    <mergeCell ref="N38:P38"/>
    <mergeCell ref="H31:I31"/>
    <mergeCell ref="G36:I36"/>
    <mergeCell ref="A90:E91"/>
    <mergeCell ref="A79:E80"/>
    <mergeCell ref="A67:E68"/>
    <mergeCell ref="H11:I11"/>
    <mergeCell ref="G12:I12"/>
    <mergeCell ref="H13:I13"/>
    <mergeCell ref="G14:I14"/>
    <mergeCell ref="H15:I15"/>
    <mergeCell ref="H21:I21"/>
    <mergeCell ref="G22:I22"/>
    <mergeCell ref="H23:I23"/>
    <mergeCell ref="A31:E32"/>
    <mergeCell ref="A33:E34"/>
    <mergeCell ref="A35:E36"/>
    <mergeCell ref="H35:I35"/>
    <mergeCell ref="A37:E38"/>
    <mergeCell ref="A39:E40"/>
    <mergeCell ref="A41:E42"/>
    <mergeCell ref="A43:E44"/>
    <mergeCell ref="A69:E70"/>
    <mergeCell ref="A72:E72"/>
    <mergeCell ref="A73:E74"/>
    <mergeCell ref="H27:I27"/>
    <mergeCell ref="H17:I17"/>
    <mergeCell ref="A88:E89"/>
    <mergeCell ref="A45:AS45"/>
    <mergeCell ref="F25:AS25"/>
    <mergeCell ref="G24:I24"/>
    <mergeCell ref="A26:E26"/>
    <mergeCell ref="A27:E28"/>
    <mergeCell ref="A29:E30"/>
    <mergeCell ref="A49:E50"/>
    <mergeCell ref="A51:E52"/>
    <mergeCell ref="A53:E54"/>
    <mergeCell ref="H29:I29"/>
    <mergeCell ref="A78:E78"/>
    <mergeCell ref="U40:W40"/>
    <mergeCell ref="V31:W31"/>
    <mergeCell ref="N36:P36"/>
    <mergeCell ref="U36:W36"/>
    <mergeCell ref="AJ31:AK31"/>
    <mergeCell ref="O35:P35"/>
    <mergeCell ref="V35:W35"/>
    <mergeCell ref="AQ35:AR35"/>
    <mergeCell ref="V33:W33"/>
    <mergeCell ref="AJ33:AK33"/>
    <mergeCell ref="A46:E46"/>
    <mergeCell ref="A47:E48"/>
    <mergeCell ref="A87:E87"/>
    <mergeCell ref="G18:I18"/>
    <mergeCell ref="H19:I19"/>
    <mergeCell ref="G20:I20"/>
    <mergeCell ref="K20:L20"/>
    <mergeCell ref="Y29:Z29"/>
    <mergeCell ref="Y30:Z30"/>
    <mergeCell ref="N34:P34"/>
    <mergeCell ref="U34:W34"/>
    <mergeCell ref="G34:I34"/>
    <mergeCell ref="G40:I40"/>
    <mergeCell ref="N40:P40"/>
    <mergeCell ref="K34:L34"/>
    <mergeCell ref="K35:L35"/>
    <mergeCell ref="K36:L36"/>
    <mergeCell ref="K37:L37"/>
    <mergeCell ref="A57:E58"/>
    <mergeCell ref="V21:W21"/>
    <mergeCell ref="G30:I30"/>
    <mergeCell ref="N18:P18"/>
    <mergeCell ref="O19:P19"/>
    <mergeCell ref="N20:P20"/>
    <mergeCell ref="G50:I50"/>
    <mergeCell ref="N50:P50"/>
    <mergeCell ref="H39:I39"/>
    <mergeCell ref="O39:P39"/>
    <mergeCell ref="V39:W39"/>
    <mergeCell ref="AJ39:AK39"/>
    <mergeCell ref="AQ17:AR17"/>
    <mergeCell ref="AP18:AR18"/>
    <mergeCell ref="AI16:AK16"/>
    <mergeCell ref="AJ17:AK17"/>
    <mergeCell ref="AI18:AK18"/>
    <mergeCell ref="AP24:AR24"/>
    <mergeCell ref="U28:W28"/>
    <mergeCell ref="O31:P31"/>
    <mergeCell ref="H33:I33"/>
    <mergeCell ref="O33:P33"/>
    <mergeCell ref="U30:W30"/>
    <mergeCell ref="V29:W29"/>
    <mergeCell ref="O29:P29"/>
    <mergeCell ref="N30:P30"/>
    <mergeCell ref="U32:W32"/>
    <mergeCell ref="R28:S28"/>
    <mergeCell ref="R29:S29"/>
    <mergeCell ref="R30:S30"/>
    <mergeCell ref="R31:S31"/>
    <mergeCell ref="G32:I32"/>
    <mergeCell ref="A55:E56"/>
    <mergeCell ref="G42:I42"/>
    <mergeCell ref="N42:P42"/>
    <mergeCell ref="U42:W42"/>
    <mergeCell ref="AI42:AK42"/>
    <mergeCell ref="AP42:AR42"/>
    <mergeCell ref="H41:I41"/>
    <mergeCell ref="O41:P41"/>
    <mergeCell ref="V41:W41"/>
    <mergeCell ref="AJ41:AK41"/>
    <mergeCell ref="Y47:Z47"/>
    <mergeCell ref="Y48:Z48"/>
    <mergeCell ref="Y49:Z49"/>
    <mergeCell ref="V49:W49"/>
    <mergeCell ref="AJ49:AK49"/>
    <mergeCell ref="AQ49:AR49"/>
    <mergeCell ref="AC49:AD49"/>
    <mergeCell ref="V47:W47"/>
    <mergeCell ref="R43:S43"/>
    <mergeCell ref="R44:S44"/>
    <mergeCell ref="R50:S50"/>
    <mergeCell ref="R51:S51"/>
    <mergeCell ref="R52:S52"/>
    <mergeCell ref="R53:S53"/>
    <mergeCell ref="O21:P21"/>
    <mergeCell ref="AQ29:AR29"/>
    <mergeCell ref="A15:E16"/>
    <mergeCell ref="A17:E18"/>
    <mergeCell ref="A19:E20"/>
    <mergeCell ref="A21:E22"/>
    <mergeCell ref="AQ19:AR19"/>
    <mergeCell ref="AP20:AR20"/>
    <mergeCell ref="AQ21:AR21"/>
    <mergeCell ref="AI20:AK20"/>
    <mergeCell ref="AJ21:AK21"/>
    <mergeCell ref="AJ19:AK19"/>
    <mergeCell ref="F26:AS26"/>
    <mergeCell ref="G16:I16"/>
    <mergeCell ref="AJ23:AK23"/>
    <mergeCell ref="AI24:AK24"/>
    <mergeCell ref="AI22:AK22"/>
    <mergeCell ref="V27:W27"/>
    <mergeCell ref="O15:P15"/>
    <mergeCell ref="N16:P16"/>
    <mergeCell ref="AP16:AR16"/>
    <mergeCell ref="AJ15:AK15"/>
    <mergeCell ref="K15:L15"/>
    <mergeCell ref="K16:L16"/>
    <mergeCell ref="AQ15:AR15"/>
    <mergeCell ref="R10:S10"/>
    <mergeCell ref="K5:L5"/>
    <mergeCell ref="R5:S5"/>
    <mergeCell ref="AI2:AJ3"/>
    <mergeCell ref="AK2:AK4"/>
    <mergeCell ref="AB5:AC5"/>
    <mergeCell ref="Y11:Z11"/>
    <mergeCell ref="Y12:Z12"/>
    <mergeCell ref="Y13:Z13"/>
    <mergeCell ref="Y14:Z14"/>
    <mergeCell ref="Y15:Z15"/>
    <mergeCell ref="V11:W11"/>
    <mergeCell ref="U12:W12"/>
    <mergeCell ref="V13:W13"/>
    <mergeCell ref="R15:S15"/>
    <mergeCell ref="AC9:AD9"/>
    <mergeCell ref="AB10:AD10"/>
    <mergeCell ref="U5:V5"/>
    <mergeCell ref="V15:W15"/>
    <mergeCell ref="AM11:AN11"/>
    <mergeCell ref="AM12:AN12"/>
    <mergeCell ref="AM13:AN13"/>
    <mergeCell ref="AM14:AN14"/>
    <mergeCell ref="AI4:AJ4"/>
    <mergeCell ref="I1:N1"/>
    <mergeCell ref="N4:O4"/>
    <mergeCell ref="U4:V4"/>
    <mergeCell ref="Y1:AJ1"/>
    <mergeCell ref="N2:O3"/>
    <mergeCell ref="P2:P4"/>
    <mergeCell ref="U2:V3"/>
    <mergeCell ref="W2:W4"/>
    <mergeCell ref="AB2:AC3"/>
    <mergeCell ref="AD2:AD4"/>
    <mergeCell ref="A1:E3"/>
    <mergeCell ref="F1:G1"/>
    <mergeCell ref="G2:H3"/>
    <mergeCell ref="A11:E12"/>
    <mergeCell ref="K12:L12"/>
    <mergeCell ref="R11:S11"/>
    <mergeCell ref="R12:S12"/>
    <mergeCell ref="R13:S13"/>
    <mergeCell ref="R14:S14"/>
    <mergeCell ref="A13:E14"/>
    <mergeCell ref="N14:P14"/>
    <mergeCell ref="O11:P11"/>
    <mergeCell ref="A4:C5"/>
    <mergeCell ref="D4:E5"/>
    <mergeCell ref="G5:H5"/>
    <mergeCell ref="N5:O5"/>
    <mergeCell ref="G4:H4"/>
    <mergeCell ref="R27:S27"/>
    <mergeCell ref="R32:S32"/>
    <mergeCell ref="Y5:Z5"/>
    <mergeCell ref="AB4:AC4"/>
    <mergeCell ref="A9:E10"/>
    <mergeCell ref="O9:P9"/>
    <mergeCell ref="N10:P10"/>
    <mergeCell ref="V9:W9"/>
    <mergeCell ref="U10:W10"/>
    <mergeCell ref="K8:L8"/>
    <mergeCell ref="K9:L9"/>
    <mergeCell ref="H9:I9"/>
    <mergeCell ref="G10:I10"/>
    <mergeCell ref="A7:E8"/>
    <mergeCell ref="Y8:Z8"/>
    <mergeCell ref="Y9:Z9"/>
    <mergeCell ref="Y10:Z10"/>
    <mergeCell ref="R8:S8"/>
    <mergeCell ref="R9:S9"/>
    <mergeCell ref="Y16:Z16"/>
    <mergeCell ref="R16:S16"/>
    <mergeCell ref="U16:W16"/>
    <mergeCell ref="V17:W17"/>
    <mergeCell ref="U18:W18"/>
    <mergeCell ref="R39:S39"/>
    <mergeCell ref="Y37:Z37"/>
    <mergeCell ref="Y51:Z51"/>
    <mergeCell ref="AC51:AD51"/>
    <mergeCell ref="R36:S36"/>
    <mergeCell ref="V37:W37"/>
    <mergeCell ref="U38:W38"/>
    <mergeCell ref="R38:S38"/>
    <mergeCell ref="AI32:AK32"/>
    <mergeCell ref="AC33:AD33"/>
    <mergeCell ref="AF32:AG32"/>
    <mergeCell ref="AF33:AG33"/>
    <mergeCell ref="AB32:AD32"/>
    <mergeCell ref="AB40:AD40"/>
    <mergeCell ref="AC41:AD41"/>
    <mergeCell ref="AB42:AD42"/>
    <mergeCell ref="U50:W50"/>
    <mergeCell ref="AI50:AK50"/>
    <mergeCell ref="Y50:Z50"/>
    <mergeCell ref="AB50:AD50"/>
    <mergeCell ref="AF43:AG43"/>
    <mergeCell ref="AC47:AD47"/>
    <mergeCell ref="R47:S47"/>
    <mergeCell ref="R48:S48"/>
    <mergeCell ref="R17:S17"/>
    <mergeCell ref="R18:S18"/>
    <mergeCell ref="R19:S19"/>
    <mergeCell ref="R20:S20"/>
    <mergeCell ref="R21:S21"/>
    <mergeCell ref="R22:S22"/>
    <mergeCell ref="R23:S23"/>
    <mergeCell ref="R24:S24"/>
    <mergeCell ref="Y17:Z17"/>
    <mergeCell ref="Y18:Z18"/>
    <mergeCell ref="Y19:Z19"/>
    <mergeCell ref="Y20:Z20"/>
    <mergeCell ref="Y21:Z21"/>
    <mergeCell ref="Y22:Z22"/>
    <mergeCell ref="V19:W19"/>
    <mergeCell ref="U20:W20"/>
    <mergeCell ref="Y23:Z23"/>
    <mergeCell ref="Y24:Z24"/>
    <mergeCell ref="U14:W14"/>
    <mergeCell ref="N22:P22"/>
    <mergeCell ref="O23:P23"/>
    <mergeCell ref="R37:S37"/>
    <mergeCell ref="O13:P13"/>
    <mergeCell ref="R33:S33"/>
    <mergeCell ref="R34:S34"/>
    <mergeCell ref="AP7:AR8"/>
    <mergeCell ref="A23:E24"/>
    <mergeCell ref="U22:W22"/>
    <mergeCell ref="V23:W23"/>
    <mergeCell ref="U24:W24"/>
    <mergeCell ref="N24:P24"/>
    <mergeCell ref="AQ9:AR9"/>
    <mergeCell ref="AP10:AR10"/>
    <mergeCell ref="AQ11:AR11"/>
    <mergeCell ref="AP12:AR12"/>
    <mergeCell ref="AQ13:AR13"/>
    <mergeCell ref="AP14:AR14"/>
    <mergeCell ref="AJ9:AK9"/>
    <mergeCell ref="AI10:AK10"/>
    <mergeCell ref="AJ11:AK11"/>
    <mergeCell ref="AI12:AK12"/>
    <mergeCell ref="AJ13:AK13"/>
    <mergeCell ref="AP22:AR22"/>
    <mergeCell ref="AQ23:AR23"/>
    <mergeCell ref="N12:P12"/>
    <mergeCell ref="K11:L11"/>
    <mergeCell ref="K13:L13"/>
    <mergeCell ref="K14:L14"/>
    <mergeCell ref="K10:L10"/>
    <mergeCell ref="O43:P43"/>
    <mergeCell ref="V43:W43"/>
    <mergeCell ref="AJ43:AK43"/>
    <mergeCell ref="Y43:Z43"/>
    <mergeCell ref="AM43:AN43"/>
    <mergeCell ref="AC43:AD43"/>
    <mergeCell ref="AC35:AD35"/>
    <mergeCell ref="AB36:AD36"/>
    <mergeCell ref="AC37:AD37"/>
    <mergeCell ref="AB38:AD38"/>
    <mergeCell ref="AI38:AK38"/>
    <mergeCell ref="AQ37:AR37"/>
    <mergeCell ref="AC27:AD27"/>
    <mergeCell ref="AB28:AD28"/>
    <mergeCell ref="AC29:AD29"/>
    <mergeCell ref="AF34:AG34"/>
    <mergeCell ref="AB34:AD34"/>
    <mergeCell ref="R49:S49"/>
    <mergeCell ref="AB48:AD48"/>
    <mergeCell ref="AJ47:AK47"/>
    <mergeCell ref="U48:W48"/>
    <mergeCell ref="G52:I52"/>
    <mergeCell ref="N52:P52"/>
    <mergeCell ref="AB52:AD52"/>
    <mergeCell ref="K52:L52"/>
    <mergeCell ref="K53:L53"/>
    <mergeCell ref="AC53:AD53"/>
    <mergeCell ref="AJ53:AK53"/>
    <mergeCell ref="Y52:Z52"/>
    <mergeCell ref="AI52:AK52"/>
    <mergeCell ref="U52:W52"/>
    <mergeCell ref="H51:I51"/>
    <mergeCell ref="O51:P51"/>
    <mergeCell ref="V51:W51"/>
    <mergeCell ref="AF47:AG47"/>
    <mergeCell ref="H55:I55"/>
    <mergeCell ref="O55:P55"/>
    <mergeCell ref="V55:W55"/>
    <mergeCell ref="V53:W53"/>
    <mergeCell ref="H53:I53"/>
    <mergeCell ref="O53:P53"/>
    <mergeCell ref="AC55:AD55"/>
    <mergeCell ref="K54:L54"/>
    <mergeCell ref="K55:L55"/>
    <mergeCell ref="R54:S54"/>
    <mergeCell ref="R55:S55"/>
    <mergeCell ref="G54:I54"/>
    <mergeCell ref="N54:P54"/>
    <mergeCell ref="U54:W54"/>
    <mergeCell ref="H57:I57"/>
    <mergeCell ref="O57:P57"/>
    <mergeCell ref="V57:W57"/>
    <mergeCell ref="AB60:AD60"/>
    <mergeCell ref="K62:L62"/>
    <mergeCell ref="Y69:Z69"/>
    <mergeCell ref="Y70:Z70"/>
    <mergeCell ref="Y67:Z67"/>
    <mergeCell ref="U70:W70"/>
    <mergeCell ref="K67:L67"/>
    <mergeCell ref="K68:L68"/>
    <mergeCell ref="AB68:AD68"/>
    <mergeCell ref="AC69:AD69"/>
    <mergeCell ref="AB70:AD70"/>
    <mergeCell ref="O69:P69"/>
    <mergeCell ref="V69:W69"/>
    <mergeCell ref="AC59:AD59"/>
    <mergeCell ref="H59:I59"/>
    <mergeCell ref="O59:P59"/>
    <mergeCell ref="V59:W59"/>
    <mergeCell ref="AF58:AG58"/>
    <mergeCell ref="G70:I70"/>
    <mergeCell ref="N70:P70"/>
    <mergeCell ref="H63:AK63"/>
    <mergeCell ref="G62:I62"/>
    <mergeCell ref="AF62:AG62"/>
    <mergeCell ref="AF60:AG60"/>
    <mergeCell ref="AJ61:AK61"/>
    <mergeCell ref="G64:AK64"/>
    <mergeCell ref="F66:AO66"/>
    <mergeCell ref="G68:I68"/>
    <mergeCell ref="AM58:AN58"/>
    <mergeCell ref="G56:I56"/>
    <mergeCell ref="N56:P56"/>
    <mergeCell ref="U56:W56"/>
    <mergeCell ref="AI56:AK56"/>
    <mergeCell ref="AB54:AD54"/>
    <mergeCell ref="AJ69:AK69"/>
    <mergeCell ref="G58:I58"/>
    <mergeCell ref="N58:P58"/>
    <mergeCell ref="U58:W58"/>
    <mergeCell ref="R59:S59"/>
    <mergeCell ref="R60:S60"/>
    <mergeCell ref="R61:S61"/>
    <mergeCell ref="R62:S62"/>
    <mergeCell ref="AC61:AD61"/>
    <mergeCell ref="AB62:AD62"/>
    <mergeCell ref="K58:L58"/>
    <mergeCell ref="K59:L59"/>
    <mergeCell ref="K60:L60"/>
    <mergeCell ref="K61:L61"/>
    <mergeCell ref="Y59:Z59"/>
    <mergeCell ref="Y60:Z60"/>
    <mergeCell ref="Y61:Z61"/>
    <mergeCell ref="AI58:AK58"/>
    <mergeCell ref="AJ59:AK59"/>
    <mergeCell ref="AQ55:AR55"/>
    <mergeCell ref="AP56:AR56"/>
    <mergeCell ref="AQ57:AR57"/>
    <mergeCell ref="Y53:Z53"/>
    <mergeCell ref="Y54:Z54"/>
    <mergeCell ref="Y55:Z55"/>
    <mergeCell ref="AJ51:AK51"/>
    <mergeCell ref="AQ51:AR51"/>
    <mergeCell ref="AQ39:AR39"/>
    <mergeCell ref="AC39:AD39"/>
    <mergeCell ref="AB56:AD56"/>
    <mergeCell ref="AC57:AD57"/>
    <mergeCell ref="AF48:AG48"/>
    <mergeCell ref="AF49:AG49"/>
    <mergeCell ref="AF50:AG50"/>
    <mergeCell ref="AF52:AG52"/>
    <mergeCell ref="AF53:AG53"/>
    <mergeCell ref="AF56:AG56"/>
    <mergeCell ref="AF57:AG57"/>
    <mergeCell ref="AF51:AG51"/>
    <mergeCell ref="AQ47:AR47"/>
    <mergeCell ref="AM42:AN42"/>
    <mergeCell ref="AQ41:AR41"/>
    <mergeCell ref="AP54:AR54"/>
    <mergeCell ref="F78:AO78"/>
    <mergeCell ref="AM81:AN81"/>
    <mergeCell ref="AC88:AD88"/>
    <mergeCell ref="G86:I86"/>
    <mergeCell ref="K80:L80"/>
    <mergeCell ref="K79:L79"/>
    <mergeCell ref="G74:I74"/>
    <mergeCell ref="V73:W73"/>
    <mergeCell ref="AM73:AN73"/>
    <mergeCell ref="AM74:AN74"/>
    <mergeCell ref="AM79:AN79"/>
    <mergeCell ref="AM75:AN75"/>
    <mergeCell ref="AM88:AN88"/>
    <mergeCell ref="AB86:AD86"/>
    <mergeCell ref="AM76:AN76"/>
    <mergeCell ref="R73:S73"/>
    <mergeCell ref="R74:S74"/>
    <mergeCell ref="AF73:AG73"/>
    <mergeCell ref="AF74:AG74"/>
    <mergeCell ref="Y74:Z74"/>
    <mergeCell ref="Y73:Z73"/>
    <mergeCell ref="K56:L56"/>
    <mergeCell ref="K57:L57"/>
    <mergeCell ref="AB58:AD58"/>
    <mergeCell ref="AF59:AG59"/>
    <mergeCell ref="AF54:AG54"/>
    <mergeCell ref="N93:P93"/>
    <mergeCell ref="G91:AK91"/>
    <mergeCell ref="H90:AK90"/>
    <mergeCell ref="K73:L73"/>
    <mergeCell ref="K74:L74"/>
    <mergeCell ref="AC73:AD73"/>
    <mergeCell ref="AB74:AD74"/>
    <mergeCell ref="AC79:AD79"/>
    <mergeCell ref="H79:I79"/>
    <mergeCell ref="V79:W79"/>
    <mergeCell ref="H69:I69"/>
    <mergeCell ref="AF70:AG70"/>
    <mergeCell ref="AI68:AK68"/>
    <mergeCell ref="H67:I67"/>
    <mergeCell ref="O67:P67"/>
    <mergeCell ref="V67:W67"/>
    <mergeCell ref="H61:I61"/>
    <mergeCell ref="O61:P61"/>
    <mergeCell ref="V61:W61"/>
    <mergeCell ref="AQ61:AR61"/>
    <mergeCell ref="G60:I60"/>
    <mergeCell ref="N60:P60"/>
    <mergeCell ref="U60:W60"/>
    <mergeCell ref="AI60:AK60"/>
    <mergeCell ref="AQ59:AR59"/>
    <mergeCell ref="AF68:AG68"/>
    <mergeCell ref="R92:S92"/>
    <mergeCell ref="R88:S88"/>
    <mergeCell ref="Y88:Z88"/>
    <mergeCell ref="N68:P68"/>
    <mergeCell ref="U68:W68"/>
    <mergeCell ref="AF67:AG67"/>
    <mergeCell ref="AI70:AK70"/>
    <mergeCell ref="AJ67:AK67"/>
    <mergeCell ref="AF61:AG61"/>
    <mergeCell ref="AF69:AG69"/>
    <mergeCell ref="AJ73:AK73"/>
    <mergeCell ref="U74:W74"/>
    <mergeCell ref="N86:P86"/>
    <mergeCell ref="U86:W86"/>
    <mergeCell ref="AI86:AK86"/>
    <mergeCell ref="AB80:AD80"/>
    <mergeCell ref="AC85:AD85"/>
    <mergeCell ref="AP62:AR62"/>
    <mergeCell ref="AP60:AR60"/>
    <mergeCell ref="AM59:AN59"/>
    <mergeCell ref="Y62:Z62"/>
    <mergeCell ref="A92:E93"/>
    <mergeCell ref="F72:AO72"/>
    <mergeCell ref="O85:P85"/>
    <mergeCell ref="V85:W85"/>
    <mergeCell ref="AJ85:AK85"/>
    <mergeCell ref="G89:I89"/>
    <mergeCell ref="N89:P89"/>
    <mergeCell ref="U89:W89"/>
    <mergeCell ref="AI89:AK89"/>
    <mergeCell ref="H88:I88"/>
    <mergeCell ref="O88:P88"/>
    <mergeCell ref="V88:W88"/>
    <mergeCell ref="AJ88:AK88"/>
    <mergeCell ref="H73:I73"/>
    <mergeCell ref="O73:P73"/>
    <mergeCell ref="AI74:AK74"/>
    <mergeCell ref="AI80:AK80"/>
    <mergeCell ref="N74:P74"/>
    <mergeCell ref="O92:P92"/>
    <mergeCell ref="Y80:Z80"/>
    <mergeCell ref="AF24:AG24"/>
    <mergeCell ref="AF41:AG41"/>
    <mergeCell ref="AF42:AG42"/>
    <mergeCell ref="AF20:AG20"/>
    <mergeCell ref="AF31:AG31"/>
    <mergeCell ref="AF30:AG30"/>
    <mergeCell ref="AB22:AD22"/>
    <mergeCell ref="AC23:AD23"/>
    <mergeCell ref="AB24:AD24"/>
    <mergeCell ref="AF35:AG35"/>
    <mergeCell ref="AF36:AG36"/>
    <mergeCell ref="AF37:AG37"/>
    <mergeCell ref="AF38:AG38"/>
    <mergeCell ref="AF39:AG39"/>
    <mergeCell ref="AF40:AG40"/>
    <mergeCell ref="AF27:AG27"/>
    <mergeCell ref="AF28:AG28"/>
    <mergeCell ref="AF29:AG29"/>
    <mergeCell ref="AB30:AD30"/>
    <mergeCell ref="AI34:AK34"/>
    <mergeCell ref="AI28:AK28"/>
    <mergeCell ref="AJ29:AK29"/>
    <mergeCell ref="AI30:AK30"/>
    <mergeCell ref="AP36:AR36"/>
    <mergeCell ref="AP38:AR38"/>
    <mergeCell ref="AM27:AN27"/>
    <mergeCell ref="AP34:AR34"/>
    <mergeCell ref="AP28:AR28"/>
    <mergeCell ref="AP30:AR30"/>
    <mergeCell ref="AP32:AR32"/>
    <mergeCell ref="AQ31:AR31"/>
    <mergeCell ref="AQ33:AR33"/>
    <mergeCell ref="AM31:AN31"/>
    <mergeCell ref="AM32:AN32"/>
    <mergeCell ref="AU7:AV8"/>
    <mergeCell ref="AU9:AV9"/>
    <mergeCell ref="AU11:AV11"/>
    <mergeCell ref="AU13:AV13"/>
    <mergeCell ref="AU15:AV15"/>
    <mergeCell ref="AU17:AV17"/>
    <mergeCell ref="AU19:AV19"/>
    <mergeCell ref="AU21:AV21"/>
    <mergeCell ref="AU23:AV23"/>
    <mergeCell ref="AU41:AV41"/>
    <mergeCell ref="AU43:AV43"/>
    <mergeCell ref="AQ43:AR43"/>
    <mergeCell ref="AQ27:AR27"/>
    <mergeCell ref="AM28:AN28"/>
    <mergeCell ref="AM29:AN29"/>
    <mergeCell ref="AU47:AV47"/>
    <mergeCell ref="AU27:AV27"/>
    <mergeCell ref="AU29:AV29"/>
    <mergeCell ref="AU31:AV31"/>
    <mergeCell ref="AU33:AV33"/>
    <mergeCell ref="AU35:AV35"/>
    <mergeCell ref="AU37:AV37"/>
    <mergeCell ref="AU39:AV39"/>
    <mergeCell ref="AM47:AN47"/>
    <mergeCell ref="AU49:AV49"/>
    <mergeCell ref="AU51:AV51"/>
    <mergeCell ref="AU55:AV55"/>
    <mergeCell ref="AU57:AV57"/>
    <mergeCell ref="AU59:AV59"/>
    <mergeCell ref="AU53:AV53"/>
    <mergeCell ref="AU61:AV61"/>
    <mergeCell ref="AU63:AV63"/>
    <mergeCell ref="K88:L88"/>
    <mergeCell ref="AM83:AN83"/>
    <mergeCell ref="AF79:AG79"/>
    <mergeCell ref="AF80:AG80"/>
    <mergeCell ref="AQ88:AR88"/>
    <mergeCell ref="AP52:AR52"/>
    <mergeCell ref="AQ79:AR79"/>
    <mergeCell ref="AM60:AN60"/>
    <mergeCell ref="AM61:AN61"/>
    <mergeCell ref="AM62:AN62"/>
    <mergeCell ref="AQ53:AR53"/>
    <mergeCell ref="AP50:AR50"/>
    <mergeCell ref="AP58:AR58"/>
    <mergeCell ref="N62:P62"/>
    <mergeCell ref="U62:W62"/>
    <mergeCell ref="AI62:AK62"/>
    <mergeCell ref="AQ90:AR90"/>
    <mergeCell ref="AQ92:AR92"/>
    <mergeCell ref="AB89:AD89"/>
    <mergeCell ref="AQ66:AR66"/>
    <mergeCell ref="AQ67:AR67"/>
    <mergeCell ref="AQ83:AR83"/>
    <mergeCell ref="AQ73:AR73"/>
    <mergeCell ref="K70:L70"/>
    <mergeCell ref="K69:L69"/>
    <mergeCell ref="R67:S67"/>
    <mergeCell ref="R68:S68"/>
    <mergeCell ref="R69:S69"/>
    <mergeCell ref="R70:S70"/>
    <mergeCell ref="AC67:AD67"/>
    <mergeCell ref="AM67:AN67"/>
    <mergeCell ref="AM68:AN68"/>
    <mergeCell ref="AM69:AN69"/>
    <mergeCell ref="AM70:AN70"/>
    <mergeCell ref="Y68:Z68"/>
    <mergeCell ref="AM90:AN90"/>
    <mergeCell ref="AM80:AN80"/>
    <mergeCell ref="O79:P79"/>
    <mergeCell ref="AF88:AG88"/>
    <mergeCell ref="Y79:Z79"/>
  </mergeCells>
  <conditionalFormatting sqref="G23 G21 G19 G17 G15 G13 G11 G9">
    <cfRule type="cellIs" dxfId="233" priority="257" operator="equal">
      <formula>"✗"</formula>
    </cfRule>
    <cfRule type="cellIs" dxfId="232" priority="258" operator="equal">
      <formula>"✓"</formula>
    </cfRule>
  </conditionalFormatting>
  <conditionalFormatting sqref="G23 G21 G19 G17 G15 G13 G11 G9">
    <cfRule type="cellIs" dxfId="231" priority="256" operator="equal">
      <formula>"||"</formula>
    </cfRule>
  </conditionalFormatting>
  <conditionalFormatting sqref="AI23 AI21 AI19 AI17 AI15 AI13 AI11 AI9 U23 U21 U19 U17 U15 U13 U11 U9 N23 N21 N19 N17 N15 N13 N11 N9">
    <cfRule type="cellIs" dxfId="230" priority="254" operator="equal">
      <formula>"✗"</formula>
    </cfRule>
    <cfRule type="cellIs" dxfId="229" priority="255" operator="equal">
      <formula>"✓"</formula>
    </cfRule>
  </conditionalFormatting>
  <conditionalFormatting sqref="AI23 AI21 AI19 AI17 AI15 AI13 AI11 AI9 U23 U21 U19 U17 U15 U13 U11 U9 N23 N21 N19 N17 N15 N13 N11 N9">
    <cfRule type="cellIs" dxfId="228" priority="253" operator="equal">
      <formula>"||"</formula>
    </cfRule>
  </conditionalFormatting>
  <conditionalFormatting sqref="AP23 AP21 AP19 AP17 AP15 AP13 AP11 AP9">
    <cfRule type="cellIs" dxfId="227" priority="251" operator="equal">
      <formula>"✗"</formula>
    </cfRule>
    <cfRule type="cellIs" dxfId="226" priority="252" operator="equal">
      <formula>"✓"</formula>
    </cfRule>
  </conditionalFormatting>
  <conditionalFormatting sqref="AP23 AP21 AP19 AP17 AP15 AP13 AP11 AP9">
    <cfRule type="cellIs" dxfId="225" priority="250" operator="equal">
      <formula>"||"</formula>
    </cfRule>
  </conditionalFormatting>
  <conditionalFormatting sqref="G41 G39 G37 G35 G33 G31 G29 G27">
    <cfRule type="cellIs" dxfId="224" priority="221" operator="equal">
      <formula>"✗"</formula>
    </cfRule>
    <cfRule type="cellIs" dxfId="223" priority="222" operator="equal">
      <formula>"✓"</formula>
    </cfRule>
  </conditionalFormatting>
  <conditionalFormatting sqref="G41 G39 G37 G35 G33 G31 G29 G27">
    <cfRule type="cellIs" dxfId="222" priority="220" operator="equal">
      <formula>"||"</formula>
    </cfRule>
  </conditionalFormatting>
  <conditionalFormatting sqref="AI41 AI39 AI37 AI35 AI33 AI31 AI29 AI27 U41 U39 U37 U35 U33 U31 U29 U27 N41 N39 N37 N35 N33 N31 N29 N27">
    <cfRule type="cellIs" dxfId="221" priority="218" operator="equal">
      <formula>"✗"</formula>
    </cfRule>
    <cfRule type="cellIs" dxfId="220" priority="219" operator="equal">
      <formula>"✓"</formula>
    </cfRule>
  </conditionalFormatting>
  <conditionalFormatting sqref="AI41 AI39 AI37 AI35 AI33 AI31 AI29 AI27 U41 U39 U37 U35 U33 U31 U29 U27 N41 N39 N37 N35 N33 N31 N29 N27">
    <cfRule type="cellIs" dxfId="219" priority="217" operator="equal">
      <formula>"||"</formula>
    </cfRule>
  </conditionalFormatting>
  <conditionalFormatting sqref="AP39 AP37 AP35 AP33 AP31 AP29 AP27">
    <cfRule type="cellIs" dxfId="218" priority="215" operator="equal">
      <formula>"✗"</formula>
    </cfRule>
    <cfRule type="cellIs" dxfId="217" priority="216" operator="equal">
      <formula>"✓"</formula>
    </cfRule>
  </conditionalFormatting>
  <conditionalFormatting sqref="AP39 AP37 AP35 AP33 AP31 AP29 AP27">
    <cfRule type="cellIs" dxfId="216" priority="214" operator="equal">
      <formula>"||"</formula>
    </cfRule>
  </conditionalFormatting>
  <conditionalFormatting sqref="G43">
    <cfRule type="cellIs" dxfId="215" priority="212" operator="equal">
      <formula>"✗"</formula>
    </cfRule>
    <cfRule type="cellIs" dxfId="214" priority="213" operator="equal">
      <formula>"✓"</formula>
    </cfRule>
  </conditionalFormatting>
  <conditionalFormatting sqref="G43">
    <cfRule type="cellIs" dxfId="213" priority="211" operator="equal">
      <formula>"||"</formula>
    </cfRule>
  </conditionalFormatting>
  <conditionalFormatting sqref="AI43 U43 N43">
    <cfRule type="cellIs" dxfId="212" priority="209" operator="equal">
      <formula>"✗"</formula>
    </cfRule>
    <cfRule type="cellIs" dxfId="211" priority="210" operator="equal">
      <formula>"✓"</formula>
    </cfRule>
  </conditionalFormatting>
  <conditionalFormatting sqref="AI43 U43 N43">
    <cfRule type="cellIs" dxfId="210" priority="208" operator="equal">
      <formula>"||"</formula>
    </cfRule>
  </conditionalFormatting>
  <conditionalFormatting sqref="AP43 AP41">
    <cfRule type="cellIs" dxfId="209" priority="203" operator="equal">
      <formula>"✗"</formula>
    </cfRule>
    <cfRule type="cellIs" dxfId="208" priority="204" operator="equal">
      <formula>"✓"</formula>
    </cfRule>
  </conditionalFormatting>
  <conditionalFormatting sqref="AP43 AP41">
    <cfRule type="cellIs" dxfId="207" priority="202" operator="equal">
      <formula>"||"</formula>
    </cfRule>
  </conditionalFormatting>
  <conditionalFormatting sqref="G63">
    <cfRule type="cellIs" dxfId="206" priority="194" operator="equal">
      <formula>"✗"</formula>
    </cfRule>
    <cfRule type="cellIs" dxfId="205" priority="195" operator="equal">
      <formula>"✓"</formula>
    </cfRule>
  </conditionalFormatting>
  <conditionalFormatting sqref="G63">
    <cfRule type="cellIs" dxfId="204" priority="193" operator="equal">
      <formula>"||"</formula>
    </cfRule>
  </conditionalFormatting>
  <conditionalFormatting sqref="G57 G55 G53 G51 G49 G47">
    <cfRule type="cellIs" dxfId="203" priority="191" operator="equal">
      <formula>"✗"</formula>
    </cfRule>
    <cfRule type="cellIs" dxfId="202" priority="192" operator="equal">
      <formula>"✓"</formula>
    </cfRule>
  </conditionalFormatting>
  <conditionalFormatting sqref="G57 G55 G53 G51 G49 G47">
    <cfRule type="cellIs" dxfId="201" priority="190" operator="equal">
      <formula>"||"</formula>
    </cfRule>
  </conditionalFormatting>
  <conditionalFormatting sqref="AI57 AI55 AI53 AI51 AI49 AI47 U57 U55 U53 U51 U49 U47 N57 N55 N53 N51 N49 N47">
    <cfRule type="cellIs" dxfId="200" priority="188" operator="equal">
      <formula>"✗"</formula>
    </cfRule>
    <cfRule type="cellIs" dxfId="199" priority="189" operator="equal">
      <formula>"✓"</formula>
    </cfRule>
  </conditionalFormatting>
  <conditionalFormatting sqref="AI57 AI55 AI53 AI51 AI49 AI47 U57 U55 U53 U51 U49 U47 N57 N55 N53 N51 N49 N47">
    <cfRule type="cellIs" dxfId="198" priority="187" operator="equal">
      <formula>"||"</formula>
    </cfRule>
  </conditionalFormatting>
  <conditionalFormatting sqref="AP55 AP53 AP51 AP49 AP47">
    <cfRule type="cellIs" dxfId="197" priority="185" operator="equal">
      <formula>"✗"</formula>
    </cfRule>
    <cfRule type="cellIs" dxfId="196" priority="186" operator="equal">
      <formula>"✓"</formula>
    </cfRule>
  </conditionalFormatting>
  <conditionalFormatting sqref="AP55 AP53 AP51 AP49 AP47">
    <cfRule type="cellIs" dxfId="195" priority="184" operator="equal">
      <formula>"||"</formula>
    </cfRule>
  </conditionalFormatting>
  <conditionalFormatting sqref="G59">
    <cfRule type="cellIs" dxfId="194" priority="182" operator="equal">
      <formula>"✗"</formula>
    </cfRule>
    <cfRule type="cellIs" dxfId="193" priority="183" operator="equal">
      <formula>"✓"</formula>
    </cfRule>
  </conditionalFormatting>
  <conditionalFormatting sqref="G59">
    <cfRule type="cellIs" dxfId="192" priority="181" operator="equal">
      <formula>"||"</formula>
    </cfRule>
  </conditionalFormatting>
  <conditionalFormatting sqref="AI59 U59 N59">
    <cfRule type="cellIs" dxfId="191" priority="179" operator="equal">
      <formula>"✗"</formula>
    </cfRule>
    <cfRule type="cellIs" dxfId="190" priority="180" operator="equal">
      <formula>"✓"</formula>
    </cfRule>
  </conditionalFormatting>
  <conditionalFormatting sqref="AI59 U59 N59">
    <cfRule type="cellIs" dxfId="189" priority="178" operator="equal">
      <formula>"||"</formula>
    </cfRule>
  </conditionalFormatting>
  <conditionalFormatting sqref="AP59 AP57">
    <cfRule type="cellIs" dxfId="188" priority="176" operator="equal">
      <formula>"✗"</formula>
    </cfRule>
    <cfRule type="cellIs" dxfId="187" priority="177" operator="equal">
      <formula>"✓"</formula>
    </cfRule>
  </conditionalFormatting>
  <conditionalFormatting sqref="AP59 AP57">
    <cfRule type="cellIs" dxfId="186" priority="175" operator="equal">
      <formula>"||"</formula>
    </cfRule>
  </conditionalFormatting>
  <conditionalFormatting sqref="G61">
    <cfRule type="cellIs" dxfId="185" priority="173" operator="equal">
      <formula>"✗"</formula>
    </cfRule>
    <cfRule type="cellIs" dxfId="184" priority="174" operator="equal">
      <formula>"✓"</formula>
    </cfRule>
  </conditionalFormatting>
  <conditionalFormatting sqref="G61">
    <cfRule type="cellIs" dxfId="183" priority="172" operator="equal">
      <formula>"||"</formula>
    </cfRule>
  </conditionalFormatting>
  <conditionalFormatting sqref="AI61 U61 N61">
    <cfRule type="cellIs" dxfId="182" priority="170" operator="equal">
      <formula>"✗"</formula>
    </cfRule>
    <cfRule type="cellIs" dxfId="181" priority="171" operator="equal">
      <formula>"✓"</formula>
    </cfRule>
  </conditionalFormatting>
  <conditionalFormatting sqref="AI61 U61 N61">
    <cfRule type="cellIs" dxfId="180" priority="169" operator="equal">
      <formula>"||"</formula>
    </cfRule>
  </conditionalFormatting>
  <conditionalFormatting sqref="AP61">
    <cfRule type="cellIs" dxfId="179" priority="167" operator="equal">
      <formula>"✗"</formula>
    </cfRule>
    <cfRule type="cellIs" dxfId="178" priority="168" operator="equal">
      <formula>"✓"</formula>
    </cfRule>
  </conditionalFormatting>
  <conditionalFormatting sqref="AP61">
    <cfRule type="cellIs" dxfId="177" priority="166" operator="equal">
      <formula>"||"</formula>
    </cfRule>
  </conditionalFormatting>
  <conditionalFormatting sqref="G67">
    <cfRule type="cellIs" dxfId="176" priority="164" operator="equal">
      <formula>"✗"</formula>
    </cfRule>
    <cfRule type="cellIs" dxfId="175" priority="165" operator="equal">
      <formula>"✓"</formula>
    </cfRule>
  </conditionalFormatting>
  <conditionalFormatting sqref="G67">
    <cfRule type="cellIs" dxfId="174" priority="163" operator="equal">
      <formula>"||"</formula>
    </cfRule>
  </conditionalFormatting>
  <conditionalFormatting sqref="AI67 U67 N67">
    <cfRule type="cellIs" dxfId="173" priority="161" operator="equal">
      <formula>"✗"</formula>
    </cfRule>
    <cfRule type="cellIs" dxfId="172" priority="162" operator="equal">
      <formula>"✓"</formula>
    </cfRule>
  </conditionalFormatting>
  <conditionalFormatting sqref="AI67 U67 N67">
    <cfRule type="cellIs" dxfId="171" priority="160" operator="equal">
      <formula>"||"</formula>
    </cfRule>
  </conditionalFormatting>
  <conditionalFormatting sqref="G69">
    <cfRule type="cellIs" dxfId="170" priority="155" operator="equal">
      <formula>"✗"</formula>
    </cfRule>
    <cfRule type="cellIs" dxfId="169" priority="156" operator="equal">
      <formula>"✓"</formula>
    </cfRule>
  </conditionalFormatting>
  <conditionalFormatting sqref="G69">
    <cfRule type="cellIs" dxfId="168" priority="154" operator="equal">
      <formula>"||"</formula>
    </cfRule>
  </conditionalFormatting>
  <conditionalFormatting sqref="AI69 U69 N69">
    <cfRule type="cellIs" dxfId="167" priority="152" operator="equal">
      <formula>"✗"</formula>
    </cfRule>
    <cfRule type="cellIs" dxfId="166" priority="153" operator="equal">
      <formula>"✓"</formula>
    </cfRule>
  </conditionalFormatting>
  <conditionalFormatting sqref="AI69 U69 N69">
    <cfRule type="cellIs" dxfId="165" priority="151" operator="equal">
      <formula>"||"</formula>
    </cfRule>
  </conditionalFormatting>
  <conditionalFormatting sqref="G73">
    <cfRule type="cellIs" dxfId="164" priority="146" operator="equal">
      <formula>"✗"</formula>
    </cfRule>
    <cfRule type="cellIs" dxfId="163" priority="147" operator="equal">
      <formula>"✓"</formula>
    </cfRule>
  </conditionalFormatting>
  <conditionalFormatting sqref="G73">
    <cfRule type="cellIs" dxfId="162" priority="145" operator="equal">
      <formula>"||"</formula>
    </cfRule>
  </conditionalFormatting>
  <conditionalFormatting sqref="AI73 U73 N73">
    <cfRule type="cellIs" dxfId="161" priority="143" operator="equal">
      <formula>"✗"</formula>
    </cfRule>
    <cfRule type="cellIs" dxfId="160" priority="144" operator="equal">
      <formula>"✓"</formula>
    </cfRule>
  </conditionalFormatting>
  <conditionalFormatting sqref="AI73 U73 N73">
    <cfRule type="cellIs" dxfId="159" priority="142" operator="equal">
      <formula>"||"</formula>
    </cfRule>
  </conditionalFormatting>
  <conditionalFormatting sqref="G79">
    <cfRule type="cellIs" dxfId="158" priority="122" operator="equal">
      <formula>"✗"</formula>
    </cfRule>
    <cfRule type="cellIs" dxfId="157" priority="123" operator="equal">
      <formula>"✓"</formula>
    </cfRule>
  </conditionalFormatting>
  <conditionalFormatting sqref="G79">
    <cfRule type="cellIs" dxfId="156" priority="121" operator="equal">
      <formula>"||"</formula>
    </cfRule>
  </conditionalFormatting>
  <conditionalFormatting sqref="AI79 U79 N79">
    <cfRule type="cellIs" dxfId="155" priority="119" operator="equal">
      <formula>"✗"</formula>
    </cfRule>
    <cfRule type="cellIs" dxfId="154" priority="120" operator="equal">
      <formula>"✓"</formula>
    </cfRule>
  </conditionalFormatting>
  <conditionalFormatting sqref="AI79 U79 N79">
    <cfRule type="cellIs" dxfId="153" priority="118" operator="equal">
      <formula>"||"</formula>
    </cfRule>
  </conditionalFormatting>
  <conditionalFormatting sqref="G88">
    <cfRule type="cellIs" dxfId="152" priority="116" operator="equal">
      <formula>"✗"</formula>
    </cfRule>
    <cfRule type="cellIs" dxfId="151" priority="117" operator="equal">
      <formula>"✓"</formula>
    </cfRule>
  </conditionalFormatting>
  <conditionalFormatting sqref="G88">
    <cfRule type="cellIs" dxfId="150" priority="115" operator="equal">
      <formula>"||"</formula>
    </cfRule>
  </conditionalFormatting>
  <conditionalFormatting sqref="AI88 U88 N88">
    <cfRule type="cellIs" dxfId="149" priority="113" operator="equal">
      <formula>"✗"</formula>
    </cfRule>
    <cfRule type="cellIs" dxfId="148" priority="114" operator="equal">
      <formula>"✓"</formula>
    </cfRule>
  </conditionalFormatting>
  <conditionalFormatting sqref="AI88 U88 N88">
    <cfRule type="cellIs" dxfId="147" priority="112" operator="equal">
      <formula>"||"</formula>
    </cfRule>
  </conditionalFormatting>
  <conditionalFormatting sqref="G90">
    <cfRule type="cellIs" dxfId="146" priority="110" operator="equal">
      <formula>"✗"</formula>
    </cfRule>
    <cfRule type="cellIs" dxfId="145" priority="111" operator="equal">
      <formula>"✓"</formula>
    </cfRule>
  </conditionalFormatting>
  <conditionalFormatting sqref="G90">
    <cfRule type="cellIs" dxfId="144" priority="109" operator="equal">
      <formula>"||"</formula>
    </cfRule>
  </conditionalFormatting>
  <conditionalFormatting sqref="G75">
    <cfRule type="cellIs" dxfId="143" priority="104" operator="equal">
      <formula>"✗"</formula>
    </cfRule>
    <cfRule type="cellIs" dxfId="142" priority="105" operator="equal">
      <formula>"✓"</formula>
    </cfRule>
  </conditionalFormatting>
  <conditionalFormatting sqref="G75">
    <cfRule type="cellIs" dxfId="141" priority="103" operator="equal">
      <formula>"||"</formula>
    </cfRule>
  </conditionalFormatting>
  <conditionalFormatting sqref="AI81 N81">
    <cfRule type="cellIs" dxfId="140" priority="77" operator="equal">
      <formula>"✗"</formula>
    </cfRule>
    <cfRule type="cellIs" dxfId="139" priority="78" operator="equal">
      <formula>"✓"</formula>
    </cfRule>
  </conditionalFormatting>
  <conditionalFormatting sqref="AI81 N81">
    <cfRule type="cellIs" dxfId="138" priority="76" operator="equal">
      <formula>"||"</formula>
    </cfRule>
  </conditionalFormatting>
  <conditionalFormatting sqref="G83">
    <cfRule type="cellIs" dxfId="137" priority="71" operator="equal">
      <formula>"✗"</formula>
    </cfRule>
    <cfRule type="cellIs" dxfId="136" priority="72" operator="equal">
      <formula>"✓"</formula>
    </cfRule>
  </conditionalFormatting>
  <conditionalFormatting sqref="G83">
    <cfRule type="cellIs" dxfId="135" priority="70" operator="equal">
      <formula>"||"</formula>
    </cfRule>
  </conditionalFormatting>
  <conditionalFormatting sqref="G85">
    <cfRule type="cellIs" dxfId="134" priority="53" operator="equal">
      <formula>"✗"</formula>
    </cfRule>
    <cfRule type="cellIs" dxfId="133" priority="54" operator="equal">
      <formula>"✓"</formula>
    </cfRule>
  </conditionalFormatting>
  <conditionalFormatting sqref="G85">
    <cfRule type="cellIs" dxfId="132" priority="52" operator="equal">
      <formula>"||"</formula>
    </cfRule>
  </conditionalFormatting>
  <conditionalFormatting sqref="AI85 U85 N85">
    <cfRule type="cellIs" dxfId="131" priority="50" operator="equal">
      <formula>"✗"</formula>
    </cfRule>
    <cfRule type="cellIs" dxfId="130" priority="51" operator="equal">
      <formula>"✓"</formula>
    </cfRule>
  </conditionalFormatting>
  <conditionalFormatting sqref="AI85 U85 N85">
    <cfRule type="cellIs" dxfId="129" priority="49" operator="equal">
      <formula>"||"</formula>
    </cfRule>
  </conditionalFormatting>
  <conditionalFormatting sqref="N92">
    <cfRule type="cellIs" dxfId="128" priority="38" operator="equal">
      <formula>"✗"</formula>
    </cfRule>
    <cfRule type="cellIs" dxfId="127" priority="39" operator="equal">
      <formula>"✓"</formula>
    </cfRule>
  </conditionalFormatting>
  <conditionalFormatting sqref="N92">
    <cfRule type="cellIs" dxfId="126" priority="37" operator="equal">
      <formula>"||"</formula>
    </cfRule>
  </conditionalFormatting>
  <conditionalFormatting sqref="AB23 AB21 AB19 AB17 AB15 AB13 AB11 AB9">
    <cfRule type="cellIs" dxfId="125" priority="35" operator="equal">
      <formula>"✗"</formula>
    </cfRule>
    <cfRule type="cellIs" dxfId="124" priority="36" operator="equal">
      <formula>"✓"</formula>
    </cfRule>
  </conditionalFormatting>
  <conditionalFormatting sqref="AB23 AB21 AB19 AB17 AB15 AB13 AB11 AB9">
    <cfRule type="cellIs" dxfId="123" priority="34" operator="equal">
      <formula>"||"</formula>
    </cfRule>
  </conditionalFormatting>
  <conditionalFormatting sqref="AB41 AB39 AB37 AB35 AB33 AB31 AB29 AB27">
    <cfRule type="cellIs" dxfId="122" priority="32" operator="equal">
      <formula>"✗"</formula>
    </cfRule>
    <cfRule type="cellIs" dxfId="121" priority="33" operator="equal">
      <formula>"✓"</formula>
    </cfRule>
  </conditionalFormatting>
  <conditionalFormatting sqref="AB41 AB39 AB37 AB35 AB33 AB31 AB29 AB27">
    <cfRule type="cellIs" dxfId="120" priority="31" operator="equal">
      <formula>"||"</formula>
    </cfRule>
  </conditionalFormatting>
  <conditionalFormatting sqref="AB43">
    <cfRule type="cellIs" dxfId="119" priority="29" operator="equal">
      <formula>"✗"</formula>
    </cfRule>
    <cfRule type="cellIs" dxfId="118" priority="30" operator="equal">
      <formula>"✓"</formula>
    </cfRule>
  </conditionalFormatting>
  <conditionalFormatting sqref="AB43">
    <cfRule type="cellIs" dxfId="117" priority="28" operator="equal">
      <formula>"||"</formula>
    </cfRule>
  </conditionalFormatting>
  <conditionalFormatting sqref="AB57 AB55 AB53 AB51 AB49 AB47">
    <cfRule type="cellIs" dxfId="116" priority="26" operator="equal">
      <formula>"✗"</formula>
    </cfRule>
    <cfRule type="cellIs" dxfId="115" priority="27" operator="equal">
      <formula>"✓"</formula>
    </cfRule>
  </conditionalFormatting>
  <conditionalFormatting sqref="AB57 AB55 AB53 AB51 AB49 AB47">
    <cfRule type="cellIs" dxfId="114" priority="25" operator="equal">
      <formula>"||"</formula>
    </cfRule>
  </conditionalFormatting>
  <conditionalFormatting sqref="AB59">
    <cfRule type="cellIs" dxfId="113" priority="23" operator="equal">
      <formula>"✗"</formula>
    </cfRule>
    <cfRule type="cellIs" dxfId="112" priority="24" operator="equal">
      <formula>"✓"</formula>
    </cfRule>
  </conditionalFormatting>
  <conditionalFormatting sqref="AB59">
    <cfRule type="cellIs" dxfId="111" priority="22" operator="equal">
      <formula>"||"</formula>
    </cfRule>
  </conditionalFormatting>
  <conditionalFormatting sqref="AB61">
    <cfRule type="cellIs" dxfId="110" priority="20" operator="equal">
      <formula>"✗"</formula>
    </cfRule>
    <cfRule type="cellIs" dxfId="109" priority="21" operator="equal">
      <formula>"✓"</formula>
    </cfRule>
  </conditionalFormatting>
  <conditionalFormatting sqref="AB61">
    <cfRule type="cellIs" dxfId="108" priority="19" operator="equal">
      <formula>"||"</formula>
    </cfRule>
  </conditionalFormatting>
  <conditionalFormatting sqref="AB67">
    <cfRule type="cellIs" dxfId="107" priority="17" operator="equal">
      <formula>"✗"</formula>
    </cfRule>
    <cfRule type="cellIs" dxfId="106" priority="18" operator="equal">
      <formula>"✓"</formula>
    </cfRule>
  </conditionalFormatting>
  <conditionalFormatting sqref="AB67">
    <cfRule type="cellIs" dxfId="105" priority="16" operator="equal">
      <formula>"||"</formula>
    </cfRule>
  </conditionalFormatting>
  <conditionalFormatting sqref="AB69">
    <cfRule type="cellIs" dxfId="104" priority="14" operator="equal">
      <formula>"✗"</formula>
    </cfRule>
    <cfRule type="cellIs" dxfId="103" priority="15" operator="equal">
      <formula>"✓"</formula>
    </cfRule>
  </conditionalFormatting>
  <conditionalFormatting sqref="AB69">
    <cfRule type="cellIs" dxfId="102" priority="13" operator="equal">
      <formula>"||"</formula>
    </cfRule>
  </conditionalFormatting>
  <conditionalFormatting sqref="AB73">
    <cfRule type="cellIs" dxfId="101" priority="11" operator="equal">
      <formula>"✗"</formula>
    </cfRule>
    <cfRule type="cellIs" dxfId="100" priority="12" operator="equal">
      <formula>"✓"</formula>
    </cfRule>
  </conditionalFormatting>
  <conditionalFormatting sqref="AB73">
    <cfRule type="cellIs" dxfId="99" priority="10" operator="equal">
      <formula>"||"</formula>
    </cfRule>
  </conditionalFormatting>
  <conditionalFormatting sqref="AB79">
    <cfRule type="cellIs" dxfId="98" priority="8" operator="equal">
      <formula>"✗"</formula>
    </cfRule>
    <cfRule type="cellIs" dxfId="97" priority="9" operator="equal">
      <formula>"✓"</formula>
    </cfRule>
  </conditionalFormatting>
  <conditionalFormatting sqref="AB79">
    <cfRule type="cellIs" dxfId="96" priority="7" operator="equal">
      <formula>"||"</formula>
    </cfRule>
  </conditionalFormatting>
  <conditionalFormatting sqref="AB88">
    <cfRule type="cellIs" dxfId="95" priority="5" operator="equal">
      <formula>"✗"</formula>
    </cfRule>
    <cfRule type="cellIs" dxfId="94" priority="6" operator="equal">
      <formula>"✓"</formula>
    </cfRule>
  </conditionalFormatting>
  <conditionalFormatting sqref="AB88">
    <cfRule type="cellIs" dxfId="93" priority="4" operator="equal">
      <formula>"||"</formula>
    </cfRule>
  </conditionalFormatting>
  <conditionalFormatting sqref="AB85">
    <cfRule type="cellIs" dxfId="92" priority="2" operator="equal">
      <formula>"✗"</formula>
    </cfRule>
    <cfRule type="cellIs" dxfId="91" priority="3" operator="equal">
      <formula>"✓"</formula>
    </cfRule>
  </conditionalFormatting>
  <conditionalFormatting sqref="AB85">
    <cfRule type="cellIs" dxfId="90" priority="1" operator="equal">
      <formula>"||"</formula>
    </cfRule>
  </conditionalFormatting>
  <dataValidations count="3">
    <dataValidation type="whole" allowBlank="1" showInputMessage="1" showErrorMessage="1" errorTitle="NOTE!" error="Enter valid week number only!" promptTitle="Week" prompt="Enter week number!" sqref="O1" xr:uid="{7AA40102-DDAC-45C3-B220-F9D4959AE3E2}">
      <formula1>1</formula1>
      <formula2>54</formula2>
    </dataValidation>
    <dataValidation type="whole" allowBlank="1" showInputMessage="1" showErrorMessage="1" errorTitle="NOTE!" error="Enter year number only (starting from 2017)" promptTitle="Year" prompt="Enter year number!" sqref="H1" xr:uid="{166B6CD8-D393-438A-A010-74A6FE9F39DA}">
      <formula1>2017</formula1>
      <formula2>3000</formula2>
    </dataValidation>
    <dataValidation type="list" allowBlank="1" showInputMessage="1" showErrorMessage="1" sqref="G9 G11 G13 G15 G17 G19 G21 G23 U43 N9 N11 N13 N15 N17 N19 N21 N23 AP43 U9 U11 U13 U15 U17 U19 U21 U23 G69 N69 U69 N92 AI69 N73 U79 U73 G90 AI9 AI11 AI13 AI15 AI17 AI19 AI21 AI23 AI43 AP9 AP11 AP13 AP15 AP17 AP19 AP21 AP23 G27 G29 G31 G33 G35 G37 G39 G41 N27 N29 N31 N33 N35 N37 N39 N41 U27 U29 U31 U33 U35 U37 U39 U41 AI85 AI73 G73 G85 AI79 U88 N85 G79 AI27 AI29 AI31 AI33 AI35 AI37 AI39 AI41 AP27 AP29 AP31 AP33 AP35 AP37 AP39 G43 N43 AP41 G63 U59 AP59 AI88 AI59 G47 G49 G51 G53 G55 G57 N47 N49 N51 N53 N55 N57 U47 U49 U51 U53 U55 U57 N79 G75 G88 N81 G83 AI47 AI49 AI51 AI53 AI55 AI57 AP47 AP49 AP51 AP53 AP55 G59 N59 AP57 G61 N61 U61 AI81 AI61 AP61 U67 N88 U85 AI67 G67 N67 AB43 AB9 AB11 AB13 AB15 AB17 AB19 AB21 AB23 AB27 AB29 AB31 AB33 AB35 AB37 AB39 AB41 AB59 AB47 AB49 AB51 AB53 AB55 AB57 AB61 AB67 AB69 AB73 AB79 AB88 AB85" xr:uid="{8066A8E9-DC46-45C0-8DF8-1E5C67C4075B}">
      <formula1>"✓,✗,||"</formula1>
    </dataValidation>
  </dataValidations>
  <hyperlinks>
    <hyperlink ref="A1:E3" r:id="rId1" display="Trade Reporting Unit Daily Checklist" xr:uid="{B859777C-F91F-402E-BB06-6CA031A12E39}"/>
    <hyperlink ref="AQ53:AR53" r:id="rId2" display="Countable items" xr:uid="{9863691C-1F6C-4FF1-AC8D-5C5E053F4C99}"/>
    <hyperlink ref="K5:L5" r:id="rId3" display="Countable items" xr:uid="{7434D17C-4E60-4508-BF66-1225154ABE95}"/>
    <hyperlink ref="R5:S5" r:id="rId4" display="Countable items" xr:uid="{87E8C060-7EDB-40C8-831B-E44805C15FFB}"/>
    <hyperlink ref="Y5:Z5" r:id="rId5" display="Countable items" xr:uid="{D5A1FB87-0A01-4C6E-A18B-335AFA53ECA7}"/>
    <hyperlink ref="AF5:AG5" r:id="rId6" display="Countable items" xr:uid="{0BA7303C-A47F-4902-9B24-4E5230DFB09C}"/>
    <hyperlink ref="AM5:AN5" r:id="rId7" display="Countable items" xr:uid="{208B2BE9-9BB5-49DF-A1F6-629B0A0720E7}"/>
  </hyperlinks>
  <pageMargins left="0.7" right="0.7" top="0.75" bottom="0.75" header="0.3" footer="0.3"/>
  <pageSetup paperSize="9" scale="17"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Export_PDF.Export_PDF">
                <anchor moveWithCells="1" sizeWithCells="1">
                  <from>
                    <xdr:col>42</xdr:col>
                    <xdr:colOff>0</xdr:colOff>
                    <xdr:row>0</xdr:row>
                    <xdr:rowOff>83820</xdr:rowOff>
                  </from>
                  <to>
                    <xdr:col>43</xdr:col>
                    <xdr:colOff>1356360</xdr:colOff>
                    <xdr:row>3</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0177724-A911-47D9-9171-2C8EE20DFC09}">
          <x14:formula1>
            <xm:f>Sheet1!$A$1:$A$4</xm:f>
          </x14:formula1>
          <xm:sqref>AP20:AR20 N12:P12 U10:W10 N82:P82 AI12:AK12 AP10:AR10 G70:I70 U12:W12 U16:W16 AE76:AG76 AP12:AR12 G20:I20 G24:I24 G14:I14 G32:I32 G42:I42 G40:I40 G30:I30 G58:I58 G62:I62 G48:I48 G50:I50 G80:I80 N58:P58 N80:P80 AI16:AK16 N70:P70 AA84:AA86 AI58:AK58 N54:P54 U58:W58 AP16:AR16 AI54:AK54 AP62:AR62 N50:P50 U54:W54 N60:P60 U50:W50 G52:I52 AI50:AK50 AP58:AR58 AI82:AK82 AP54:AR54 N38:P38 U60:W60 AI60:AK60 AI38:AK38 AP50:AR50 N34:P34 U38:W38 AI34:AK34 AP42:AR42 N30:P30 U34:W34 AI30:AK30 AP38:AR38 N44:P44 U30:W30 J84:L84 AI44:AK44 AP34:AR34 N22:P22 U44:W44 AI80:AK80 AI22:AK22 AP30:AR30 N18:P18 U22:W22 G22:I22 AI18:AK18 AP22:AR22 N14:P14 U18:W18 AI14:AK14 AP18:AR18 N56:P56 U14:W14 AI56:AK56 AP14:AR14 G16:I16 G18:I18 G12:I12 G10:I10 G34:I34 G36:I36 G28:I28 G38:I38 G56:I56 G60:I60 AI42:AK42 N52:P52 U56:W56 AI52:AK52 AP60:AR60 N48:P48 U52:W52 AI48:AK48 AP56:AR56 G54:I54 U48:W48 U62:W62 AP52:AR52 N40:P40 N62:P62 AI40:AK40 AP48:AR48 N36:P36 U40:W40 N10:P10 AI36:AK36 AP44:AR44 N32:P32 U36:W36 AI32:AK32 AP40:AR40 N28:P28 U32:W32 AI28:AK28 AP36:AR36 G44:I44 U28:W28 U42:W42 AP32:AR32 N24:P24 N42:P42 AI24:AK24 AP28:AR28 N20:P20 U24:W24 AI20:AK20 AP24:AR24 N16:P16 U20:W20 G84:I86 AI91:AN91 N93:P93 AI64:AN64 AI70:AK70 AO85:AO86 AH85:AH86 AI62:AK62 AI10:AK10 X84:Z84 G76:AA76 G64:AA64 G91:AA91 G93:J93 G89:I89 U80:W80 U70:W70 AE91:AG91 AE64:AG64 Q84:S84 M84:P86 T84:W86 AE84:AG84 AI84:AK86 AI76:AL76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7D140-FCB3-4211-A1AB-BC5DCB4014EB}">
  <sheetPr codeName="Sheet3">
    <pageSetUpPr fitToPage="1"/>
  </sheetPr>
  <dimension ref="A1:AS140"/>
  <sheetViews>
    <sheetView zoomScale="70" zoomScaleNormal="70" workbookViewId="0">
      <pane xSplit="5" ySplit="6" topLeftCell="F7" activePane="bottomRight" state="frozen"/>
      <selection pane="bottomRight" activeCell="AM72" sqref="AM72:AN75"/>
      <selection pane="bottomLeft" activeCell="A6" sqref="A6"/>
      <selection pane="topRight" activeCell="F1" sqref="F1"/>
    </sheetView>
  </sheetViews>
  <sheetFormatPr defaultColWidth="9.140625" defaultRowHeight="14.45"/>
  <cols>
    <col min="1" max="4" width="11.5703125" style="32" customWidth="1"/>
    <col min="5" max="5" width="15.5703125" style="32" customWidth="1"/>
    <col min="6" max="6" width="5.42578125" style="30" customWidth="1"/>
    <col min="7" max="7" width="7.28515625" style="30" customWidth="1"/>
    <col min="8" max="9" width="17.7109375" style="30" customWidth="1"/>
    <col min="10" max="10" width="3.42578125" style="30" customWidth="1"/>
    <col min="11" max="12" width="8.42578125" style="30" customWidth="1"/>
    <col min="13" max="13" width="3.42578125" style="30" customWidth="1"/>
    <col min="14" max="14" width="7.28515625" style="30" customWidth="1"/>
    <col min="15" max="16" width="17.7109375" style="30" customWidth="1"/>
    <col min="17" max="17" width="3.42578125" style="30" customWidth="1"/>
    <col min="18" max="19" width="8.42578125" style="30" customWidth="1"/>
    <col min="20" max="20" width="3.42578125" style="30" customWidth="1"/>
    <col min="21" max="21" width="7.28515625" style="30" customWidth="1"/>
    <col min="22" max="23" width="17.7109375" style="30" customWidth="1"/>
    <col min="24" max="24" width="3.42578125" style="30" customWidth="1"/>
    <col min="25" max="26" width="8.42578125" style="30" customWidth="1"/>
    <col min="27" max="27" width="3.42578125" style="30" customWidth="1"/>
    <col min="28" max="28" width="7.28515625" style="30" customWidth="1"/>
    <col min="29" max="30" width="17.7109375" style="30" customWidth="1"/>
    <col min="31" max="31" width="3.42578125" style="30" customWidth="1"/>
    <col min="32" max="33" width="8.42578125" style="30" customWidth="1"/>
    <col min="34" max="34" width="3.42578125" style="30" customWidth="1"/>
    <col min="35" max="35" width="7.28515625" style="30" customWidth="1"/>
    <col min="36" max="37" width="17.7109375" style="30" customWidth="1"/>
    <col min="38" max="38" width="3.42578125" style="30" customWidth="1"/>
    <col min="39" max="40" width="8.42578125" style="30" customWidth="1"/>
    <col min="41" max="41" width="3.42578125" style="30" customWidth="1"/>
    <col min="42" max="42" width="2.5703125" style="30" customWidth="1"/>
    <col min="43" max="44" width="11.7109375" style="30" customWidth="1"/>
    <col min="45" max="45" width="2.5703125" style="30" customWidth="1"/>
    <col min="46" max="16384" width="9.140625" style="30"/>
  </cols>
  <sheetData>
    <row r="1" spans="1:45" ht="14.45" customHeight="1" thickTop="1">
      <c r="A1" s="402" t="s">
        <v>0</v>
      </c>
      <c r="B1" s="403"/>
      <c r="C1" s="403"/>
      <c r="D1" s="403"/>
      <c r="E1" s="404"/>
      <c r="F1" s="438" t="s">
        <v>239</v>
      </c>
      <c r="G1" s="438"/>
      <c r="H1" s="55">
        <f>'Crucial Processes &amp; Rotationals'!H1</f>
        <v>2025</v>
      </c>
      <c r="I1" s="438" t="s">
        <v>2</v>
      </c>
      <c r="J1" s="438"/>
      <c r="K1" s="438"/>
      <c r="L1" s="438"/>
      <c r="M1" s="438"/>
      <c r="N1" s="438"/>
      <c r="O1" s="55">
        <f>'Crucial Processes &amp; Rotationals'!O1</f>
        <v>27</v>
      </c>
      <c r="P1" s="56"/>
      <c r="Q1" s="56"/>
      <c r="R1" s="56"/>
      <c r="S1" s="56"/>
      <c r="T1" s="56"/>
      <c r="U1" s="57"/>
      <c r="V1" s="58"/>
      <c r="W1" s="58"/>
      <c r="X1" s="58"/>
      <c r="Y1" s="58"/>
      <c r="Z1" s="58"/>
      <c r="AA1" s="58"/>
      <c r="AB1" s="399" t="s">
        <v>240</v>
      </c>
      <c r="AC1" s="399"/>
      <c r="AD1" s="399"/>
      <c r="AE1" s="399"/>
      <c r="AF1" s="399"/>
      <c r="AG1" s="399"/>
      <c r="AH1" s="399"/>
      <c r="AI1" s="399"/>
      <c r="AJ1" s="399"/>
      <c r="AK1" s="386"/>
      <c r="AL1" s="386"/>
      <c r="AM1" s="386"/>
      <c r="AN1" s="386"/>
      <c r="AO1" s="387"/>
      <c r="AP1" s="121"/>
      <c r="AQ1" s="122"/>
      <c r="AR1" s="122"/>
      <c r="AS1" s="123"/>
    </row>
    <row r="2" spans="1:45" ht="14.45" customHeight="1">
      <c r="A2" s="405"/>
      <c r="B2" s="406"/>
      <c r="C2" s="406"/>
      <c r="D2" s="406"/>
      <c r="E2" s="407"/>
      <c r="F2" s="443"/>
      <c r="G2" s="400" t="str">
        <f>TEXT(G4,"dddd")</f>
        <v>Monday</v>
      </c>
      <c r="H2" s="400"/>
      <c r="I2" s="381"/>
      <c r="J2" s="381"/>
      <c r="K2" s="381"/>
      <c r="L2" s="381"/>
      <c r="M2" s="381"/>
      <c r="N2" s="401" t="str">
        <f>TEXT(N4,"dddd")</f>
        <v>Tuesday</v>
      </c>
      <c r="O2" s="401"/>
      <c r="P2" s="382"/>
      <c r="Q2" s="382"/>
      <c r="R2" s="382"/>
      <c r="S2" s="382"/>
      <c r="T2" s="382"/>
      <c r="U2" s="411" t="str">
        <f>TEXT(U4,"dddd")</f>
        <v>Wednesday</v>
      </c>
      <c r="V2" s="411"/>
      <c r="W2" s="382"/>
      <c r="X2" s="382"/>
      <c r="Y2" s="382"/>
      <c r="Z2" s="382"/>
      <c r="AA2" s="382"/>
      <c r="AB2" s="397" t="str">
        <f>TEXT(AB4,"dddd")</f>
        <v>Thursday</v>
      </c>
      <c r="AC2" s="397"/>
      <c r="AD2" s="382"/>
      <c r="AE2" s="382"/>
      <c r="AF2" s="382"/>
      <c r="AG2" s="382"/>
      <c r="AH2" s="382"/>
      <c r="AI2" s="380" t="str">
        <f>TEXT(AI4,"dddd")</f>
        <v>Friday</v>
      </c>
      <c r="AJ2" s="380"/>
      <c r="AK2" s="388"/>
      <c r="AL2" s="388"/>
      <c r="AM2" s="388"/>
      <c r="AN2" s="388"/>
      <c r="AO2" s="389"/>
      <c r="AP2" s="124"/>
      <c r="AS2" s="125"/>
    </row>
    <row r="3" spans="1:45" ht="15" customHeight="1" thickBot="1">
      <c r="A3" s="408"/>
      <c r="B3" s="409"/>
      <c r="C3" s="409"/>
      <c r="D3" s="409"/>
      <c r="E3" s="410"/>
      <c r="F3" s="444"/>
      <c r="G3" s="400"/>
      <c r="H3" s="400"/>
      <c r="I3" s="382"/>
      <c r="J3" s="382"/>
      <c r="K3" s="382"/>
      <c r="L3" s="382"/>
      <c r="M3" s="382"/>
      <c r="N3" s="401"/>
      <c r="O3" s="401"/>
      <c r="P3" s="382"/>
      <c r="Q3" s="382"/>
      <c r="R3" s="382"/>
      <c r="S3" s="382"/>
      <c r="T3" s="382"/>
      <c r="U3" s="411"/>
      <c r="V3" s="411"/>
      <c r="W3" s="382"/>
      <c r="X3" s="382"/>
      <c r="Y3" s="382"/>
      <c r="Z3" s="382"/>
      <c r="AA3" s="382"/>
      <c r="AB3" s="397"/>
      <c r="AC3" s="397"/>
      <c r="AD3" s="382"/>
      <c r="AE3" s="382"/>
      <c r="AF3" s="382"/>
      <c r="AG3" s="382"/>
      <c r="AH3" s="382"/>
      <c r="AI3" s="380"/>
      <c r="AJ3" s="380"/>
      <c r="AK3" s="388"/>
      <c r="AL3" s="388"/>
      <c r="AM3" s="388"/>
      <c r="AN3" s="388"/>
      <c r="AO3" s="389"/>
      <c r="AP3" s="124"/>
      <c r="AS3" s="125"/>
    </row>
    <row r="4" spans="1:45">
      <c r="A4" s="390" t="s">
        <v>4</v>
      </c>
      <c r="B4" s="391"/>
      <c r="C4" s="391"/>
      <c r="D4" s="391" t="s">
        <v>126</v>
      </c>
      <c r="E4" s="391"/>
      <c r="F4" s="444"/>
      <c r="G4" s="398">
        <f>DATE(H1, 1, -2) - WEEKDAY(DATE(H1, 1, 3)) +O1* 7</f>
        <v>45838</v>
      </c>
      <c r="H4" s="398"/>
      <c r="I4" s="382"/>
      <c r="J4" s="382"/>
      <c r="K4" s="382"/>
      <c r="L4" s="382"/>
      <c r="M4" s="382"/>
      <c r="N4" s="398">
        <f>DATE(H1, 1, -2) - WEEKDAY(DATE(H1, 1, 3)) +O1 * 7+1</f>
        <v>45839</v>
      </c>
      <c r="O4" s="398"/>
      <c r="P4" s="382"/>
      <c r="Q4" s="382"/>
      <c r="R4" s="382"/>
      <c r="S4" s="382"/>
      <c r="T4" s="382"/>
      <c r="U4" s="398">
        <f>DATE(H1, 1, -2) - WEEKDAY(DATE(H1, 1, 3)) +O1 * 7+2</f>
        <v>45840</v>
      </c>
      <c r="V4" s="398"/>
      <c r="W4" s="382"/>
      <c r="X4" s="382"/>
      <c r="Y4" s="382"/>
      <c r="Z4" s="382"/>
      <c r="AA4" s="382"/>
      <c r="AB4" s="398">
        <f>DATE(H1, 1, -2) - WEEKDAY(DATE(H1, 1, 3)) +O1 * 7+3</f>
        <v>45841</v>
      </c>
      <c r="AC4" s="398"/>
      <c r="AD4" s="382"/>
      <c r="AE4" s="382"/>
      <c r="AF4" s="382"/>
      <c r="AG4" s="382"/>
      <c r="AH4" s="382"/>
      <c r="AI4" s="398">
        <f>DATE(H1, 1, -2) - WEEKDAY(DATE(H1, 1, 3)) +O1 * 7+4</f>
        <v>45842</v>
      </c>
      <c r="AJ4" s="398"/>
      <c r="AK4" s="388"/>
      <c r="AL4" s="388"/>
      <c r="AM4" s="388"/>
      <c r="AN4" s="388"/>
      <c r="AO4" s="389"/>
      <c r="AP4" s="124"/>
      <c r="AS4" s="125"/>
    </row>
    <row r="5" spans="1:45">
      <c r="A5" s="392"/>
      <c r="B5" s="393"/>
      <c r="C5" s="393"/>
      <c r="D5" s="393"/>
      <c r="E5" s="393"/>
      <c r="F5" s="60"/>
      <c r="G5" s="394" t="s">
        <v>6</v>
      </c>
      <c r="H5" s="394"/>
      <c r="I5" s="61">
        <f>IF(COUNTA(G11:G132)=0,"No values",(COUNTIF(G11:G132,"✓")+COUNTIF(G11:G132,"||"))/COUNTA(G11:G132)*2)</f>
        <v>1</v>
      </c>
      <c r="J5" s="61"/>
      <c r="K5" s="278" t="s">
        <v>7</v>
      </c>
      <c r="L5" s="278"/>
      <c r="M5" s="53"/>
      <c r="N5" s="395" t="s">
        <v>6</v>
      </c>
      <c r="O5" s="395"/>
      <c r="P5" s="61">
        <f>IF(COUNTA(N11:N132)=0,"No values",(COUNTIF(N11:N132,"✓")+COUNTIF(N11:N132,"||"))/COUNTA(N11:N132)*2)</f>
        <v>1</v>
      </c>
      <c r="Q5" s="61"/>
      <c r="R5" s="278" t="s">
        <v>7</v>
      </c>
      <c r="S5" s="278"/>
      <c r="U5" s="396" t="s">
        <v>6</v>
      </c>
      <c r="V5" s="396"/>
      <c r="W5" s="61">
        <f>IF(COUNTA(U11:U132)=0,"No values",(COUNTIF(U11:U132,"✓")+COUNTIF(U11:U132,"||"))/COUNTA(U11:U132)*2)</f>
        <v>1</v>
      </c>
      <c r="X5" s="61"/>
      <c r="Y5" s="278" t="s">
        <v>7</v>
      </c>
      <c r="Z5" s="278"/>
      <c r="AB5" s="397" t="s">
        <v>6</v>
      </c>
      <c r="AC5" s="397"/>
      <c r="AD5" s="61">
        <f>IF(COUNTA(AB11:AB132)=0,"No values",(COUNTIF(AB11:AB132,"✓")+COUNTIF(AB11:AB132,"||"))/COUNTA(AB11:AB132)*2)</f>
        <v>1</v>
      </c>
      <c r="AE5" s="61"/>
      <c r="AF5" s="278" t="s">
        <v>7</v>
      </c>
      <c r="AG5" s="278"/>
      <c r="AI5" s="380" t="s">
        <v>6</v>
      </c>
      <c r="AJ5" s="380"/>
      <c r="AK5" s="61">
        <f>IF(COUNTA(AI11:AI132)=0,"No values",(COUNTIF(AI11:AI132,"✓")+COUNTIF(AI11:AI132,"||"))/COUNTA(AI11:AI132)*2)</f>
        <v>1</v>
      </c>
      <c r="AL5" s="61"/>
      <c r="AM5" s="278" t="s">
        <v>7</v>
      </c>
      <c r="AN5" s="278"/>
      <c r="AO5" s="59"/>
      <c r="AP5" s="124"/>
      <c r="AS5" s="125"/>
    </row>
    <row r="6" spans="1:45">
      <c r="A6" s="383"/>
      <c r="B6" s="384"/>
      <c r="C6" s="384"/>
      <c r="D6" s="384"/>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4"/>
      <c r="AI6" s="384"/>
      <c r="AJ6" s="384"/>
      <c r="AK6" s="384"/>
      <c r="AL6" s="384"/>
      <c r="AM6" s="384"/>
      <c r="AN6" s="384"/>
      <c r="AO6" s="385"/>
      <c r="AP6" s="128"/>
      <c r="AQ6" s="68"/>
      <c r="AR6" s="68"/>
      <c r="AS6" s="69"/>
    </row>
    <row r="7" spans="1:45">
      <c r="A7" s="420" t="s">
        <v>241</v>
      </c>
      <c r="B7" s="421"/>
      <c r="C7" s="421"/>
      <c r="D7" s="421"/>
      <c r="E7" s="421"/>
      <c r="F7" s="357"/>
      <c r="G7" s="357"/>
      <c r="H7" s="357"/>
      <c r="I7" s="357"/>
      <c r="J7" s="357"/>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126"/>
      <c r="AQ7" s="350" t="s">
        <v>9</v>
      </c>
      <c r="AR7" s="350"/>
      <c r="AS7" s="65"/>
    </row>
    <row r="8" spans="1:45">
      <c r="A8" s="369" t="s">
        <v>242</v>
      </c>
      <c r="B8" s="370"/>
      <c r="C8" s="370"/>
      <c r="D8" s="370"/>
      <c r="E8" s="370"/>
      <c r="F8" s="62"/>
      <c r="G8" s="31" t="s">
        <v>17</v>
      </c>
      <c r="H8" s="353" t="s">
        <v>243</v>
      </c>
      <c r="I8" s="353"/>
      <c r="J8" s="8"/>
      <c r="K8" s="149"/>
      <c r="L8" s="149"/>
      <c r="M8" s="8"/>
      <c r="N8" s="31" t="s">
        <v>17</v>
      </c>
      <c r="O8" s="353" t="s">
        <v>244</v>
      </c>
      <c r="P8" s="353"/>
      <c r="Q8" s="8"/>
      <c r="R8" s="149"/>
      <c r="S8" s="149"/>
      <c r="T8" s="8"/>
      <c r="U8" s="31" t="s">
        <v>17</v>
      </c>
      <c r="V8" s="353" t="s">
        <v>245</v>
      </c>
      <c r="W8" s="353"/>
      <c r="X8" s="8"/>
      <c r="Y8" s="149"/>
      <c r="Z8" s="149"/>
      <c r="AA8" s="8"/>
      <c r="AB8" s="31" t="s">
        <v>17</v>
      </c>
      <c r="AC8" s="353" t="s">
        <v>246</v>
      </c>
      <c r="AD8" s="353"/>
      <c r="AE8" s="8"/>
      <c r="AF8" s="149"/>
      <c r="AG8" s="149"/>
      <c r="AH8" s="8"/>
      <c r="AI8" s="31" t="s">
        <v>17</v>
      </c>
      <c r="AJ8" s="353" t="s">
        <v>247</v>
      </c>
      <c r="AK8" s="353"/>
      <c r="AL8" s="8"/>
      <c r="AM8" s="149"/>
      <c r="AN8" s="149"/>
      <c r="AO8" s="50"/>
      <c r="AP8" s="126"/>
      <c r="AQ8" s="149"/>
      <c r="AR8" s="149"/>
      <c r="AS8" s="65"/>
    </row>
    <row r="9" spans="1:45">
      <c r="A9" s="369"/>
      <c r="B9" s="370"/>
      <c r="C9" s="370"/>
      <c r="D9" s="370"/>
      <c r="E9" s="370"/>
      <c r="F9" s="62"/>
      <c r="G9" s="357" t="s">
        <v>248</v>
      </c>
      <c r="H9" s="357"/>
      <c r="I9" s="357"/>
      <c r="J9" s="8"/>
      <c r="K9" s="149"/>
      <c r="L9" s="149"/>
      <c r="M9" s="8"/>
      <c r="N9" s="357" t="s">
        <v>248</v>
      </c>
      <c r="O9" s="357"/>
      <c r="P9" s="357"/>
      <c r="Q9" s="8"/>
      <c r="R9" s="149"/>
      <c r="S9" s="149"/>
      <c r="T9" s="8"/>
      <c r="U9" s="357" t="s">
        <v>249</v>
      </c>
      <c r="V9" s="357"/>
      <c r="W9" s="357"/>
      <c r="X9" s="8"/>
      <c r="Y9" s="149"/>
      <c r="Z9" s="149"/>
      <c r="AA9" s="8"/>
      <c r="AB9" s="357" t="s">
        <v>248</v>
      </c>
      <c r="AC9" s="357"/>
      <c r="AD9" s="357"/>
      <c r="AE9" s="8"/>
      <c r="AF9" s="149"/>
      <c r="AG9" s="149"/>
      <c r="AH9" s="8"/>
      <c r="AI9" s="357" t="s">
        <v>249</v>
      </c>
      <c r="AJ9" s="357"/>
      <c r="AK9" s="357"/>
      <c r="AL9" s="8"/>
      <c r="AM9" s="149"/>
      <c r="AN9" s="149"/>
      <c r="AO9" s="50"/>
      <c r="AP9" s="126"/>
      <c r="AQ9" s="62"/>
      <c r="AR9" s="62"/>
      <c r="AS9" s="65"/>
    </row>
    <row r="10" spans="1:45">
      <c r="A10" s="445" t="s">
        <v>250</v>
      </c>
      <c r="B10" s="446"/>
      <c r="C10" s="446"/>
      <c r="D10" s="446"/>
      <c r="E10" s="447"/>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1"/>
      <c r="AI10" s="351"/>
      <c r="AJ10" s="351"/>
      <c r="AK10" s="351"/>
      <c r="AL10" s="351"/>
      <c r="AM10" s="351"/>
      <c r="AN10" s="351"/>
      <c r="AO10" s="352"/>
      <c r="AP10" s="129"/>
      <c r="AQ10" s="130"/>
      <c r="AR10" s="130"/>
      <c r="AS10" s="131"/>
    </row>
    <row r="11" spans="1:45">
      <c r="A11" s="422" t="s">
        <v>251</v>
      </c>
      <c r="B11" s="423"/>
      <c r="C11" s="423"/>
      <c r="D11" s="423"/>
      <c r="E11" s="423"/>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1"/>
      <c r="AI11" s="351"/>
      <c r="AJ11" s="351"/>
      <c r="AK11" s="351"/>
      <c r="AL11" s="351"/>
      <c r="AM11" s="351"/>
      <c r="AN11" s="351"/>
      <c r="AO11" s="352"/>
      <c r="AP11" s="129"/>
      <c r="AQ11" s="130"/>
      <c r="AR11" s="130"/>
      <c r="AS11" s="131"/>
    </row>
    <row r="12" spans="1:45">
      <c r="A12" s="424"/>
      <c r="B12" s="425"/>
      <c r="C12" s="425"/>
      <c r="D12" s="425"/>
      <c r="E12" s="425"/>
      <c r="F12" s="351"/>
      <c r="G12" s="351"/>
      <c r="H12" s="351"/>
      <c r="I12" s="351"/>
      <c r="J12" s="351"/>
      <c r="K12" s="351"/>
      <c r="L12" s="351"/>
      <c r="M12" s="351"/>
      <c r="N12" s="351"/>
      <c r="O12" s="351"/>
      <c r="P12" s="351"/>
      <c r="Q12" s="351"/>
      <c r="R12" s="351"/>
      <c r="S12" s="351"/>
      <c r="T12" s="351"/>
      <c r="U12" s="351"/>
      <c r="V12" s="351"/>
      <c r="W12" s="351"/>
      <c r="X12" s="351"/>
      <c r="Y12" s="351"/>
      <c r="Z12" s="351"/>
      <c r="AA12" s="351"/>
      <c r="AB12" s="351"/>
      <c r="AC12" s="351"/>
      <c r="AD12" s="351"/>
      <c r="AE12" s="351"/>
      <c r="AF12" s="351"/>
      <c r="AG12" s="351"/>
      <c r="AH12" s="351"/>
      <c r="AI12" s="351"/>
      <c r="AJ12" s="351"/>
      <c r="AK12" s="351"/>
      <c r="AL12" s="351"/>
      <c r="AM12" s="351"/>
      <c r="AN12" s="351"/>
      <c r="AO12" s="352"/>
      <c r="AP12" s="129"/>
      <c r="AQ12" s="130"/>
      <c r="AR12" s="130"/>
      <c r="AS12" s="131"/>
    </row>
    <row r="13" spans="1:45">
      <c r="A13" s="426" t="s">
        <v>252</v>
      </c>
      <c r="B13" s="427"/>
      <c r="C13" s="427"/>
      <c r="D13" s="427"/>
      <c r="E13" s="428"/>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6"/>
      <c r="AP13" s="127"/>
      <c r="AQ13" s="63"/>
      <c r="AR13" s="63"/>
      <c r="AS13" s="64"/>
    </row>
    <row r="14" spans="1:45">
      <c r="A14" s="429" t="s">
        <v>253</v>
      </c>
      <c r="B14" s="430"/>
      <c r="C14" s="430"/>
      <c r="D14" s="430"/>
      <c r="E14" s="431"/>
      <c r="F14" s="63"/>
      <c r="G14" s="31" t="s">
        <v>11</v>
      </c>
      <c r="H14" s="353" t="s">
        <v>81</v>
      </c>
      <c r="I14" s="353"/>
      <c r="J14" s="353"/>
      <c r="K14" s="353"/>
      <c r="L14" s="353"/>
      <c r="M14" s="353"/>
      <c r="N14" s="353"/>
      <c r="O14" s="353"/>
      <c r="P14" s="353"/>
      <c r="Q14" s="353"/>
      <c r="R14" s="353"/>
      <c r="S14" s="353"/>
      <c r="T14" s="353"/>
      <c r="U14" s="353"/>
      <c r="V14" s="353"/>
      <c r="W14" s="353"/>
      <c r="X14" s="353"/>
      <c r="Y14" s="353"/>
      <c r="Z14" s="353"/>
      <c r="AA14" s="353"/>
      <c r="AB14" s="353"/>
      <c r="AC14" s="353"/>
      <c r="AD14" s="353"/>
      <c r="AE14" s="353"/>
      <c r="AF14" s="353"/>
      <c r="AG14" s="353"/>
      <c r="AH14" s="353"/>
      <c r="AI14" s="353"/>
      <c r="AJ14" s="353"/>
      <c r="AK14" s="353"/>
      <c r="AL14" s="6"/>
      <c r="AM14" s="139">
        <v>31</v>
      </c>
      <c r="AN14" s="139"/>
      <c r="AO14" s="49"/>
      <c r="AP14" s="127"/>
      <c r="AQ14" s="348">
        <f>AM14</f>
        <v>31</v>
      </c>
      <c r="AR14" s="349"/>
      <c r="AS14" s="64"/>
    </row>
    <row r="15" spans="1:45">
      <c r="A15" s="429"/>
      <c r="B15" s="430"/>
      <c r="C15" s="430"/>
      <c r="D15" s="430"/>
      <c r="E15" s="431"/>
      <c r="F15" s="63"/>
      <c r="G15" s="354">
        <v>45723.696817129632</v>
      </c>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6"/>
      <c r="AM15" s="140"/>
      <c r="AN15" s="140"/>
      <c r="AO15" s="49"/>
      <c r="AP15" s="127"/>
      <c r="AQ15" s="63"/>
      <c r="AR15" s="63"/>
      <c r="AS15" s="64"/>
    </row>
    <row r="16" spans="1:45">
      <c r="A16" s="429" t="s">
        <v>254</v>
      </c>
      <c r="B16" s="430"/>
      <c r="C16" s="430"/>
      <c r="D16" s="430"/>
      <c r="E16" s="431"/>
      <c r="F16" s="63"/>
      <c r="G16" s="31" t="s">
        <v>11</v>
      </c>
      <c r="H16" s="353" t="s">
        <v>81</v>
      </c>
      <c r="I16" s="353"/>
      <c r="J16" s="353"/>
      <c r="K16" s="353"/>
      <c r="L16" s="353"/>
      <c r="M16" s="353"/>
      <c r="N16" s="353"/>
      <c r="O16" s="353"/>
      <c r="P16" s="353"/>
      <c r="Q16" s="353"/>
      <c r="R16" s="353"/>
      <c r="S16" s="353"/>
      <c r="T16" s="353"/>
      <c r="U16" s="353"/>
      <c r="V16" s="353"/>
      <c r="W16" s="353"/>
      <c r="X16" s="353"/>
      <c r="Y16" s="353"/>
      <c r="Z16" s="353"/>
      <c r="AA16" s="353"/>
      <c r="AB16" s="353"/>
      <c r="AC16" s="353"/>
      <c r="AD16" s="353"/>
      <c r="AE16" s="353"/>
      <c r="AF16" s="353"/>
      <c r="AG16" s="353"/>
      <c r="AH16" s="353"/>
      <c r="AI16" s="353"/>
      <c r="AJ16" s="353"/>
      <c r="AK16" s="353"/>
      <c r="AL16" s="6"/>
      <c r="AM16" s="139">
        <v>1</v>
      </c>
      <c r="AN16" s="139"/>
      <c r="AO16" s="49"/>
      <c r="AP16" s="127"/>
      <c r="AQ16" s="348">
        <f>AM16</f>
        <v>1</v>
      </c>
      <c r="AR16" s="349"/>
      <c r="AS16" s="64"/>
    </row>
    <row r="17" spans="1:45">
      <c r="A17" s="432"/>
      <c r="B17" s="433"/>
      <c r="C17" s="433"/>
      <c r="D17" s="433"/>
      <c r="E17" s="434"/>
      <c r="F17" s="63"/>
      <c r="G17" s="354">
        <v>45723.696828703702</v>
      </c>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6"/>
      <c r="AM17" s="140"/>
      <c r="AN17" s="140"/>
      <c r="AO17" s="49"/>
      <c r="AP17" s="127"/>
      <c r="AQ17" s="63"/>
      <c r="AR17" s="63"/>
      <c r="AS17" s="64"/>
    </row>
    <row r="18" spans="1:45">
      <c r="A18" s="435" t="s">
        <v>255</v>
      </c>
      <c r="B18" s="436"/>
      <c r="C18" s="436"/>
      <c r="D18" s="436"/>
      <c r="E18" s="437"/>
      <c r="F18" s="357"/>
      <c r="G18" s="357"/>
      <c r="H18" s="357"/>
      <c r="I18" s="357"/>
      <c r="J18" s="357"/>
      <c r="K18" s="357"/>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57"/>
      <c r="AM18" s="357"/>
      <c r="AN18" s="357"/>
      <c r="AO18" s="358"/>
      <c r="AP18" s="126"/>
      <c r="AQ18" s="62"/>
      <c r="AR18" s="62"/>
      <c r="AS18" s="65"/>
    </row>
    <row r="19" spans="1:45">
      <c r="A19" s="376" t="s">
        <v>256</v>
      </c>
      <c r="B19" s="377"/>
      <c r="C19" s="377"/>
      <c r="D19" s="377"/>
      <c r="E19" s="413"/>
      <c r="F19" s="357"/>
      <c r="G19" s="357"/>
      <c r="H19" s="357"/>
      <c r="I19" s="357"/>
      <c r="J19" s="357"/>
      <c r="K19" s="357"/>
      <c r="L19" s="357"/>
      <c r="M19" s="357"/>
      <c r="N19" s="357"/>
      <c r="O19" s="357"/>
      <c r="P19" s="357"/>
      <c r="Q19" s="357"/>
      <c r="R19" s="357"/>
      <c r="S19" s="357"/>
      <c r="T19" s="357"/>
      <c r="U19" s="357"/>
      <c r="V19" s="357"/>
      <c r="W19" s="357"/>
      <c r="X19" s="357"/>
      <c r="Y19" s="357"/>
      <c r="Z19" s="357"/>
      <c r="AA19" s="357"/>
      <c r="AB19" s="357"/>
      <c r="AC19" s="357"/>
      <c r="AD19" s="357"/>
      <c r="AE19" s="357"/>
      <c r="AF19" s="357"/>
      <c r="AG19" s="357"/>
      <c r="AH19" s="357"/>
      <c r="AI19" s="357"/>
      <c r="AJ19" s="357"/>
      <c r="AK19" s="357"/>
      <c r="AL19" s="357"/>
      <c r="AM19" s="357"/>
      <c r="AN19" s="357"/>
      <c r="AO19" s="358"/>
      <c r="AP19" s="126"/>
      <c r="AQ19" s="62"/>
      <c r="AR19" s="62"/>
      <c r="AS19" s="65"/>
    </row>
    <row r="20" spans="1:45">
      <c r="A20" s="414" t="s">
        <v>87</v>
      </c>
      <c r="B20" s="415"/>
      <c r="C20" s="415"/>
      <c r="D20" s="415"/>
      <c r="E20" s="416"/>
      <c r="F20" s="62"/>
      <c r="G20" s="31" t="s">
        <v>11</v>
      </c>
      <c r="H20" s="353" t="s">
        <v>81</v>
      </c>
      <c r="I20" s="353"/>
      <c r="J20" s="8"/>
      <c r="K20" s="139">
        <v>21</v>
      </c>
      <c r="L20" s="139"/>
      <c r="M20" s="8"/>
      <c r="N20" s="31" t="s">
        <v>11</v>
      </c>
      <c r="O20" s="353" t="s">
        <v>81</v>
      </c>
      <c r="P20" s="353"/>
      <c r="Q20" s="8"/>
      <c r="R20" s="139">
        <v>9</v>
      </c>
      <c r="S20" s="139"/>
      <c r="T20" s="8"/>
      <c r="U20" s="31" t="s">
        <v>11</v>
      </c>
      <c r="V20" s="353" t="s">
        <v>81</v>
      </c>
      <c r="W20" s="353"/>
      <c r="X20" s="8"/>
      <c r="Y20" s="139">
        <v>66</v>
      </c>
      <c r="Z20" s="139"/>
      <c r="AA20" s="8"/>
      <c r="AB20" s="31" t="s">
        <v>11</v>
      </c>
      <c r="AC20" s="353" t="s">
        <v>81</v>
      </c>
      <c r="AD20" s="353"/>
      <c r="AE20" s="8"/>
      <c r="AF20" s="139">
        <v>31</v>
      </c>
      <c r="AG20" s="139"/>
      <c r="AH20" s="8"/>
      <c r="AI20" s="31" t="s">
        <v>11</v>
      </c>
      <c r="AJ20" s="353" t="s">
        <v>81</v>
      </c>
      <c r="AK20" s="353"/>
      <c r="AL20" s="8"/>
      <c r="AM20" s="139">
        <v>40</v>
      </c>
      <c r="AN20" s="139"/>
      <c r="AO20" s="50"/>
      <c r="AP20" s="126"/>
      <c r="AQ20" s="348">
        <f>K20+R20+Y20+AF20+AM20</f>
        <v>167</v>
      </c>
      <c r="AR20" s="349"/>
      <c r="AS20" s="65"/>
    </row>
    <row r="21" spans="1:45">
      <c r="A21" s="414"/>
      <c r="B21" s="415"/>
      <c r="C21" s="415"/>
      <c r="D21" s="415"/>
      <c r="E21" s="416"/>
      <c r="F21" s="62"/>
      <c r="G21" s="357" t="s">
        <v>257</v>
      </c>
      <c r="H21" s="357"/>
      <c r="I21" s="357"/>
      <c r="J21" s="8"/>
      <c r="K21" s="8"/>
      <c r="L21" s="8"/>
      <c r="M21" s="8"/>
      <c r="N21" s="359">
        <v>45664.675416666665</v>
      </c>
      <c r="O21" s="357"/>
      <c r="P21" s="357"/>
      <c r="Q21" s="8"/>
      <c r="R21" s="8"/>
      <c r="S21" s="8"/>
      <c r="T21" s="8"/>
      <c r="U21" s="359">
        <v>45695.640706018516</v>
      </c>
      <c r="V21" s="357"/>
      <c r="W21" s="357"/>
      <c r="X21" s="8"/>
      <c r="Y21" s="8"/>
      <c r="Z21" s="8"/>
      <c r="AA21" s="8"/>
      <c r="AB21" s="359">
        <v>45723.696574074071</v>
      </c>
      <c r="AC21" s="357"/>
      <c r="AD21" s="357"/>
      <c r="AE21" s="8"/>
      <c r="AF21" s="8"/>
      <c r="AG21" s="8"/>
      <c r="AH21" s="8"/>
      <c r="AI21" s="359">
        <v>45754.649687500001</v>
      </c>
      <c r="AJ21" s="357"/>
      <c r="AK21" s="357"/>
      <c r="AL21" s="8"/>
      <c r="AM21" s="8"/>
      <c r="AN21" s="8"/>
      <c r="AO21" s="8"/>
      <c r="AP21" s="126"/>
      <c r="AQ21" s="62"/>
      <c r="AR21" s="62"/>
      <c r="AS21" s="65"/>
    </row>
    <row r="22" spans="1:45">
      <c r="A22" s="414" t="s">
        <v>94</v>
      </c>
      <c r="B22" s="415"/>
      <c r="C22" s="415"/>
      <c r="D22" s="415"/>
      <c r="E22" s="416"/>
      <c r="F22" s="62"/>
      <c r="G22" s="31" t="s">
        <v>11</v>
      </c>
      <c r="H22" s="353" t="s">
        <v>81</v>
      </c>
      <c r="I22" s="353"/>
      <c r="J22" s="8"/>
      <c r="K22" s="8"/>
      <c r="L22" s="8"/>
      <c r="M22" s="8"/>
      <c r="N22" s="31" t="s">
        <v>11</v>
      </c>
      <c r="O22" s="353" t="s">
        <v>81</v>
      </c>
      <c r="P22" s="353"/>
      <c r="Q22" s="8"/>
      <c r="R22" s="8"/>
      <c r="S22" s="8"/>
      <c r="T22" s="8"/>
      <c r="U22" s="31" t="s">
        <v>11</v>
      </c>
      <c r="V22" s="353" t="s">
        <v>81</v>
      </c>
      <c r="W22" s="353"/>
      <c r="X22" s="8"/>
      <c r="Y22" s="8"/>
      <c r="Z22" s="8"/>
      <c r="AA22" s="8"/>
      <c r="AB22" s="31" t="s">
        <v>11</v>
      </c>
      <c r="AC22" s="353" t="s">
        <v>81</v>
      </c>
      <c r="AD22" s="353"/>
      <c r="AE22" s="8"/>
      <c r="AF22" s="8"/>
      <c r="AG22" s="8"/>
      <c r="AH22" s="8"/>
      <c r="AI22" s="31" t="s">
        <v>11</v>
      </c>
      <c r="AJ22" s="353" t="s">
        <v>81</v>
      </c>
      <c r="AK22" s="353"/>
      <c r="AL22" s="8"/>
      <c r="AM22" s="8"/>
      <c r="AN22" s="8"/>
      <c r="AO22" s="8"/>
      <c r="AP22" s="126"/>
      <c r="AQ22" s="62"/>
      <c r="AR22" s="62"/>
      <c r="AS22" s="65"/>
    </row>
    <row r="23" spans="1:45">
      <c r="A23" s="417"/>
      <c r="B23" s="418"/>
      <c r="C23" s="418"/>
      <c r="D23" s="418"/>
      <c r="E23" s="419"/>
      <c r="F23" s="62"/>
      <c r="G23" s="357" t="s">
        <v>258</v>
      </c>
      <c r="H23" s="357"/>
      <c r="I23" s="357"/>
      <c r="J23" s="8"/>
      <c r="K23" s="8"/>
      <c r="L23" s="8"/>
      <c r="M23" s="8"/>
      <c r="N23" s="359">
        <v>45664.675428240742</v>
      </c>
      <c r="O23" s="357"/>
      <c r="P23" s="357"/>
      <c r="Q23" s="8"/>
      <c r="R23" s="8"/>
      <c r="S23" s="8"/>
      <c r="T23" s="8"/>
      <c r="U23" s="359">
        <v>45695.640763888892</v>
      </c>
      <c r="V23" s="357"/>
      <c r="W23" s="357"/>
      <c r="X23" s="8"/>
      <c r="Y23" s="8"/>
      <c r="Z23" s="8"/>
      <c r="AA23" s="8"/>
      <c r="AB23" s="359">
        <v>45723.696620370371</v>
      </c>
      <c r="AC23" s="357"/>
      <c r="AD23" s="357"/>
      <c r="AE23" s="8"/>
      <c r="AF23" s="8"/>
      <c r="AG23" s="8"/>
      <c r="AH23" s="8"/>
      <c r="AI23" s="359">
        <v>45754.649710648147</v>
      </c>
      <c r="AJ23" s="357"/>
      <c r="AK23" s="357"/>
      <c r="AL23" s="8"/>
      <c r="AM23" s="8"/>
      <c r="AN23" s="8"/>
      <c r="AO23" s="8"/>
      <c r="AP23" s="126"/>
      <c r="AQ23" s="62"/>
      <c r="AR23" s="62"/>
      <c r="AS23" s="65"/>
    </row>
    <row r="24" spans="1:45">
      <c r="A24" s="426" t="s">
        <v>259</v>
      </c>
      <c r="B24" s="427"/>
      <c r="C24" s="427"/>
      <c r="D24" s="427"/>
      <c r="E24" s="428"/>
      <c r="F24" s="355"/>
      <c r="G24" s="355"/>
      <c r="H24" s="355"/>
      <c r="I24" s="355"/>
      <c r="J24" s="355"/>
      <c r="K24" s="355"/>
      <c r="L24" s="355"/>
      <c r="M24" s="355"/>
      <c r="N24" s="355"/>
      <c r="O24" s="355"/>
      <c r="P24" s="355"/>
      <c r="Q24" s="355"/>
      <c r="R24" s="355"/>
      <c r="S24" s="355"/>
      <c r="T24" s="355"/>
      <c r="U24" s="355"/>
      <c r="V24" s="355"/>
      <c r="W24" s="355"/>
      <c r="X24" s="355"/>
      <c r="Y24" s="355"/>
      <c r="Z24" s="355"/>
      <c r="AA24" s="355"/>
      <c r="AB24" s="355"/>
      <c r="AC24" s="355"/>
      <c r="AD24" s="355"/>
      <c r="AE24" s="355"/>
      <c r="AF24" s="355"/>
      <c r="AG24" s="355"/>
      <c r="AH24" s="355"/>
      <c r="AI24" s="355"/>
      <c r="AJ24" s="355"/>
      <c r="AK24" s="355"/>
      <c r="AL24" s="355"/>
      <c r="AM24" s="355"/>
      <c r="AN24" s="355"/>
      <c r="AO24" s="356"/>
      <c r="AP24" s="127"/>
      <c r="AQ24" s="63"/>
      <c r="AR24" s="63"/>
      <c r="AS24" s="64"/>
    </row>
    <row r="25" spans="1:45">
      <c r="A25" s="429" t="s">
        <v>87</v>
      </c>
      <c r="B25" s="430"/>
      <c r="C25" s="430"/>
      <c r="D25" s="430"/>
      <c r="E25" s="431"/>
      <c r="F25" s="63"/>
      <c r="G25" s="31" t="s">
        <v>17</v>
      </c>
      <c r="H25" s="353" t="s">
        <v>260</v>
      </c>
      <c r="I25" s="353"/>
      <c r="J25" s="6"/>
      <c r="K25" s="139">
        <v>0</v>
      </c>
      <c r="L25" s="139"/>
      <c r="M25" s="6"/>
      <c r="N25" s="31" t="s">
        <v>17</v>
      </c>
      <c r="O25" s="353" t="s">
        <v>261</v>
      </c>
      <c r="P25" s="353"/>
      <c r="Q25" s="6"/>
      <c r="R25" s="139">
        <v>0</v>
      </c>
      <c r="S25" s="139"/>
      <c r="T25" s="6"/>
      <c r="U25" s="31" t="s">
        <v>17</v>
      </c>
      <c r="V25" s="353" t="s">
        <v>262</v>
      </c>
      <c r="W25" s="353"/>
      <c r="X25" s="6"/>
      <c r="Y25" s="139">
        <v>0</v>
      </c>
      <c r="Z25" s="139"/>
      <c r="AA25" s="6"/>
      <c r="AB25" s="31" t="s">
        <v>17</v>
      </c>
      <c r="AC25" s="353" t="s">
        <v>263</v>
      </c>
      <c r="AD25" s="353"/>
      <c r="AE25" s="6"/>
      <c r="AF25" s="139">
        <v>0</v>
      </c>
      <c r="AG25" s="139"/>
      <c r="AH25" s="6"/>
      <c r="AI25" s="31" t="s">
        <v>17</v>
      </c>
      <c r="AJ25" s="353" t="s">
        <v>264</v>
      </c>
      <c r="AK25" s="353"/>
      <c r="AL25" s="6"/>
      <c r="AM25" s="139">
        <v>0</v>
      </c>
      <c r="AN25" s="139"/>
      <c r="AO25" s="49"/>
      <c r="AP25" s="127"/>
      <c r="AQ25" s="348">
        <f>K25+R25+Y25+AF25+AM25</f>
        <v>0</v>
      </c>
      <c r="AR25" s="349"/>
      <c r="AS25" s="64"/>
    </row>
    <row r="26" spans="1:45">
      <c r="A26" s="429"/>
      <c r="B26" s="430"/>
      <c r="C26" s="430"/>
      <c r="D26" s="430"/>
      <c r="E26" s="431"/>
      <c r="F26" s="63"/>
      <c r="G26" s="378" t="s">
        <v>93</v>
      </c>
      <c r="H26" s="378"/>
      <c r="I26" s="378"/>
      <c r="J26" s="6"/>
      <c r="K26" s="6"/>
      <c r="L26" s="6"/>
      <c r="M26" s="6"/>
      <c r="N26" s="378" t="s">
        <v>93</v>
      </c>
      <c r="O26" s="378"/>
      <c r="P26" s="378"/>
      <c r="Q26" s="6"/>
      <c r="R26" s="6"/>
      <c r="S26" s="6"/>
      <c r="T26" s="6"/>
      <c r="U26" s="378" t="s">
        <v>93</v>
      </c>
      <c r="V26" s="378"/>
      <c r="W26" s="378"/>
      <c r="X26" s="6"/>
      <c r="Y26" s="6"/>
      <c r="Z26" s="6"/>
      <c r="AA26" s="6"/>
      <c r="AB26" s="378" t="s">
        <v>93</v>
      </c>
      <c r="AC26" s="378"/>
      <c r="AD26" s="378"/>
      <c r="AE26" s="6"/>
      <c r="AF26" s="6"/>
      <c r="AG26" s="6"/>
      <c r="AH26" s="6"/>
      <c r="AI26" s="378" t="s">
        <v>93</v>
      </c>
      <c r="AJ26" s="378"/>
      <c r="AK26" s="378"/>
      <c r="AL26" s="6"/>
      <c r="AM26" s="6"/>
      <c r="AN26" s="6"/>
      <c r="AO26" s="6"/>
      <c r="AP26" s="127"/>
      <c r="AQ26" s="63"/>
      <c r="AR26" s="63"/>
      <c r="AS26" s="64"/>
    </row>
    <row r="27" spans="1:45">
      <c r="A27" s="429" t="s">
        <v>94</v>
      </c>
      <c r="B27" s="430"/>
      <c r="C27" s="430"/>
      <c r="D27" s="430"/>
      <c r="E27" s="431"/>
      <c r="F27" s="63"/>
      <c r="G27" s="31" t="s">
        <v>11</v>
      </c>
      <c r="H27" s="353" t="s">
        <v>81</v>
      </c>
      <c r="I27" s="353"/>
      <c r="J27" s="6"/>
      <c r="K27" s="6"/>
      <c r="L27" s="6"/>
      <c r="M27" s="6"/>
      <c r="N27" s="31" t="s">
        <v>11</v>
      </c>
      <c r="O27" s="353" t="s">
        <v>81</v>
      </c>
      <c r="P27" s="353"/>
      <c r="Q27" s="6"/>
      <c r="R27" s="6"/>
      <c r="S27" s="6"/>
      <c r="T27" s="6"/>
      <c r="U27" s="31" t="s">
        <v>11</v>
      </c>
      <c r="V27" s="353" t="s">
        <v>81</v>
      </c>
      <c r="W27" s="353"/>
      <c r="X27" s="6"/>
      <c r="Y27" s="6"/>
      <c r="Z27" s="6"/>
      <c r="AA27" s="6"/>
      <c r="AB27" s="31" t="s">
        <v>11</v>
      </c>
      <c r="AC27" s="353" t="s">
        <v>81</v>
      </c>
      <c r="AD27" s="353"/>
      <c r="AE27" s="6"/>
      <c r="AF27" s="6"/>
      <c r="AG27" s="6"/>
      <c r="AH27" s="6"/>
      <c r="AI27" s="31" t="s">
        <v>11</v>
      </c>
      <c r="AJ27" s="353" t="s">
        <v>81</v>
      </c>
      <c r="AK27" s="353"/>
      <c r="AL27" s="6"/>
      <c r="AM27" s="6"/>
      <c r="AN27" s="6"/>
      <c r="AO27" s="6"/>
      <c r="AP27" s="127"/>
      <c r="AQ27" s="63"/>
      <c r="AR27" s="63"/>
      <c r="AS27" s="64"/>
    </row>
    <row r="28" spans="1:45">
      <c r="A28" s="432"/>
      <c r="B28" s="433"/>
      <c r="C28" s="433"/>
      <c r="D28" s="433"/>
      <c r="E28" s="434"/>
      <c r="F28" s="63"/>
      <c r="G28" s="373" t="s">
        <v>265</v>
      </c>
      <c r="H28" s="373"/>
      <c r="I28" s="373"/>
      <c r="J28" s="6"/>
      <c r="K28" s="6"/>
      <c r="L28" s="6"/>
      <c r="M28" s="6"/>
      <c r="N28" s="412">
        <v>45664.675497685188</v>
      </c>
      <c r="O28" s="373"/>
      <c r="P28" s="373"/>
      <c r="Q28" s="6"/>
      <c r="R28" s="6"/>
      <c r="S28" s="6"/>
      <c r="T28" s="6"/>
      <c r="U28" s="412">
        <v>45695.640787037039</v>
      </c>
      <c r="V28" s="373"/>
      <c r="W28" s="373"/>
      <c r="X28" s="6"/>
      <c r="Y28" s="6"/>
      <c r="Z28" s="6"/>
      <c r="AA28" s="6"/>
      <c r="AB28" s="412">
        <v>45723.696666666663</v>
      </c>
      <c r="AC28" s="373"/>
      <c r="AD28" s="373"/>
      <c r="AE28" s="6"/>
      <c r="AF28" s="6"/>
      <c r="AG28" s="6"/>
      <c r="AH28" s="6"/>
      <c r="AI28" s="412">
        <v>45754.649097222224</v>
      </c>
      <c r="AJ28" s="373"/>
      <c r="AK28" s="373"/>
      <c r="AL28" s="6"/>
      <c r="AM28" s="6"/>
      <c r="AN28" s="6"/>
      <c r="AO28" s="6"/>
      <c r="AP28" s="127"/>
      <c r="AQ28" s="63"/>
      <c r="AR28" s="63"/>
      <c r="AS28" s="64"/>
    </row>
    <row r="29" spans="1:45">
      <c r="A29" s="435" t="s">
        <v>266</v>
      </c>
      <c r="B29" s="436"/>
      <c r="C29" s="436"/>
      <c r="D29" s="436"/>
      <c r="E29" s="436"/>
      <c r="F29" s="357"/>
      <c r="G29" s="357"/>
      <c r="H29" s="357"/>
      <c r="I29" s="357"/>
      <c r="J29" s="357"/>
      <c r="K29" s="357"/>
      <c r="L29" s="357"/>
      <c r="M29" s="357"/>
      <c r="N29" s="357"/>
      <c r="O29" s="357"/>
      <c r="P29" s="357"/>
      <c r="Q29" s="357"/>
      <c r="R29" s="357"/>
      <c r="S29" s="357"/>
      <c r="T29" s="357"/>
      <c r="U29" s="357"/>
      <c r="V29" s="357"/>
      <c r="W29" s="357"/>
      <c r="X29" s="357"/>
      <c r="Y29" s="357"/>
      <c r="Z29" s="357"/>
      <c r="AA29" s="357"/>
      <c r="AB29" s="357"/>
      <c r="AC29" s="357"/>
      <c r="AD29" s="357"/>
      <c r="AE29" s="357"/>
      <c r="AF29" s="357"/>
      <c r="AG29" s="357"/>
      <c r="AH29" s="357"/>
      <c r="AI29" s="357"/>
      <c r="AJ29" s="357"/>
      <c r="AK29" s="357"/>
      <c r="AL29" s="357"/>
      <c r="AM29" s="357"/>
      <c r="AN29" s="357"/>
      <c r="AO29" s="358"/>
      <c r="AP29" s="126"/>
      <c r="AQ29" s="62"/>
      <c r="AR29" s="62"/>
      <c r="AS29" s="65"/>
    </row>
    <row r="30" spans="1:45">
      <c r="A30" s="414" t="s">
        <v>87</v>
      </c>
      <c r="B30" s="415"/>
      <c r="C30" s="415"/>
      <c r="D30" s="415"/>
      <c r="E30" s="416"/>
      <c r="F30" s="62"/>
      <c r="G30" s="31" t="s">
        <v>11</v>
      </c>
      <c r="H30" s="353" t="s">
        <v>81</v>
      </c>
      <c r="I30" s="353"/>
      <c r="J30" s="8"/>
      <c r="K30" s="139">
        <v>97</v>
      </c>
      <c r="L30" s="139"/>
      <c r="M30" s="8"/>
      <c r="N30" s="31" t="s">
        <v>11</v>
      </c>
      <c r="O30" s="353" t="s">
        <v>81</v>
      </c>
      <c r="P30" s="353"/>
      <c r="Q30" s="8"/>
      <c r="R30" s="139">
        <v>67</v>
      </c>
      <c r="S30" s="139"/>
      <c r="T30" s="8"/>
      <c r="U30" s="31" t="s">
        <v>11</v>
      </c>
      <c r="V30" s="353" t="s">
        <v>81</v>
      </c>
      <c r="W30" s="353"/>
      <c r="X30" s="8"/>
      <c r="Y30" s="139">
        <v>92</v>
      </c>
      <c r="Z30" s="139"/>
      <c r="AA30" s="8"/>
      <c r="AB30" s="31" t="s">
        <v>11</v>
      </c>
      <c r="AC30" s="353" t="s">
        <v>81</v>
      </c>
      <c r="AD30" s="353"/>
      <c r="AE30" s="8"/>
      <c r="AF30" s="139">
        <v>105</v>
      </c>
      <c r="AG30" s="139"/>
      <c r="AH30" s="8"/>
      <c r="AI30" s="31" t="s">
        <v>11</v>
      </c>
      <c r="AJ30" s="353" t="s">
        <v>81</v>
      </c>
      <c r="AK30" s="353"/>
      <c r="AL30" s="8"/>
      <c r="AM30" s="139">
        <v>89</v>
      </c>
      <c r="AN30" s="139"/>
      <c r="AO30" s="50"/>
      <c r="AP30" s="126"/>
      <c r="AQ30" s="348">
        <f>K30+R30+Y30+AF30+AM30</f>
        <v>450</v>
      </c>
      <c r="AR30" s="349"/>
      <c r="AS30" s="65"/>
    </row>
    <row r="31" spans="1:45">
      <c r="A31" s="414"/>
      <c r="B31" s="415"/>
      <c r="C31" s="415"/>
      <c r="D31" s="415"/>
      <c r="E31" s="416"/>
      <c r="F31" s="62"/>
      <c r="G31" s="357" t="s">
        <v>267</v>
      </c>
      <c r="H31" s="357"/>
      <c r="I31" s="357"/>
      <c r="J31" s="8"/>
      <c r="K31" s="8"/>
      <c r="L31" s="8"/>
      <c r="M31" s="8"/>
      <c r="N31" s="359">
        <v>45664.675509259258</v>
      </c>
      <c r="O31" s="357"/>
      <c r="P31" s="357"/>
      <c r="Q31" s="8"/>
      <c r="R31" s="8"/>
      <c r="S31" s="8"/>
      <c r="T31" s="8"/>
      <c r="U31" s="359">
        <v>45695.656006944446</v>
      </c>
      <c r="V31" s="357"/>
      <c r="W31" s="357"/>
      <c r="X31" s="8"/>
      <c r="Y31" s="8"/>
      <c r="Z31" s="8"/>
      <c r="AA31" s="8"/>
      <c r="AB31" s="359">
        <v>45723.69667824074</v>
      </c>
      <c r="AC31" s="357"/>
      <c r="AD31" s="357"/>
      <c r="AE31" s="8"/>
      <c r="AF31" s="8"/>
      <c r="AG31" s="8"/>
      <c r="AH31" s="8"/>
      <c r="AI31" s="359">
        <v>45754.64912037037</v>
      </c>
      <c r="AJ31" s="357"/>
      <c r="AK31" s="357"/>
      <c r="AL31" s="8"/>
      <c r="AM31" s="8"/>
      <c r="AN31" s="8"/>
      <c r="AO31" s="8"/>
      <c r="AP31" s="126"/>
      <c r="AQ31" s="62"/>
      <c r="AR31" s="62"/>
      <c r="AS31" s="65"/>
    </row>
    <row r="32" spans="1:45">
      <c r="A32" s="414" t="s">
        <v>94</v>
      </c>
      <c r="B32" s="415"/>
      <c r="C32" s="415"/>
      <c r="D32" s="415"/>
      <c r="E32" s="416"/>
      <c r="F32" s="62"/>
      <c r="G32" s="31" t="s">
        <v>11</v>
      </c>
      <c r="H32" s="353" t="s">
        <v>81</v>
      </c>
      <c r="I32" s="353"/>
      <c r="J32" s="8"/>
      <c r="K32" s="8"/>
      <c r="L32" s="8"/>
      <c r="M32" s="8"/>
      <c r="N32" s="31" t="s">
        <v>11</v>
      </c>
      <c r="O32" s="353" t="s">
        <v>81</v>
      </c>
      <c r="P32" s="353"/>
      <c r="Q32" s="8"/>
      <c r="R32" s="8"/>
      <c r="S32" s="8"/>
      <c r="T32" s="8"/>
      <c r="U32" s="31" t="s">
        <v>11</v>
      </c>
      <c r="V32" s="353" t="s">
        <v>81</v>
      </c>
      <c r="W32" s="353"/>
      <c r="X32" s="8"/>
      <c r="Y32" s="8"/>
      <c r="Z32" s="8"/>
      <c r="AA32" s="8"/>
      <c r="AB32" s="31" t="s">
        <v>11</v>
      </c>
      <c r="AC32" s="353" t="s">
        <v>81</v>
      </c>
      <c r="AD32" s="353"/>
      <c r="AE32" s="8"/>
      <c r="AF32" s="8"/>
      <c r="AG32" s="8"/>
      <c r="AH32" s="8"/>
      <c r="AI32" s="31" t="s">
        <v>11</v>
      </c>
      <c r="AJ32" s="353" t="s">
        <v>81</v>
      </c>
      <c r="AK32" s="353"/>
      <c r="AL32" s="8"/>
      <c r="AM32" s="8"/>
      <c r="AN32" s="8"/>
      <c r="AO32" s="8"/>
      <c r="AP32" s="126"/>
      <c r="AQ32" s="62"/>
      <c r="AR32" s="62"/>
      <c r="AS32" s="65"/>
    </row>
    <row r="33" spans="1:45">
      <c r="A33" s="417"/>
      <c r="B33" s="418"/>
      <c r="C33" s="418"/>
      <c r="D33" s="418"/>
      <c r="E33" s="419"/>
      <c r="F33" s="62"/>
      <c r="G33" s="357" t="s">
        <v>268</v>
      </c>
      <c r="H33" s="357"/>
      <c r="I33" s="357"/>
      <c r="J33" s="8"/>
      <c r="K33" s="8"/>
      <c r="L33" s="8"/>
      <c r="M33" s="8"/>
      <c r="N33" s="359">
        <v>45664.675532407404</v>
      </c>
      <c r="O33" s="357"/>
      <c r="P33" s="357"/>
      <c r="Q33" s="8"/>
      <c r="R33" s="8"/>
      <c r="S33" s="8"/>
      <c r="T33" s="8"/>
      <c r="U33" s="359">
        <v>45695.656030092592</v>
      </c>
      <c r="V33" s="357"/>
      <c r="W33" s="357"/>
      <c r="X33" s="8"/>
      <c r="Y33" s="8"/>
      <c r="Z33" s="8"/>
      <c r="AA33" s="8"/>
      <c r="AB33" s="359">
        <v>45723.696689814817</v>
      </c>
      <c r="AC33" s="357"/>
      <c r="AD33" s="357"/>
      <c r="AE33" s="8"/>
      <c r="AF33" s="8"/>
      <c r="AG33" s="8"/>
      <c r="AH33" s="8"/>
      <c r="AI33" s="359">
        <v>45754.649143518516</v>
      </c>
      <c r="AJ33" s="357"/>
      <c r="AK33" s="357"/>
      <c r="AL33" s="8"/>
      <c r="AM33" s="8"/>
      <c r="AN33" s="8"/>
      <c r="AO33" s="8"/>
      <c r="AP33" s="126"/>
      <c r="AQ33" s="62"/>
      <c r="AR33" s="62"/>
      <c r="AS33" s="65"/>
    </row>
    <row r="34" spans="1:45">
      <c r="A34" s="383"/>
      <c r="B34" s="384"/>
      <c r="C34" s="384"/>
      <c r="D34" s="384"/>
      <c r="E34" s="384"/>
      <c r="F34" s="384"/>
      <c r="G34" s="384"/>
      <c r="H34" s="384"/>
      <c r="I34" s="384"/>
      <c r="J34" s="384"/>
      <c r="K34" s="384"/>
      <c r="L34" s="384"/>
      <c r="M34" s="384"/>
      <c r="N34" s="384"/>
      <c r="O34" s="384"/>
      <c r="P34" s="384"/>
      <c r="Q34" s="384"/>
      <c r="R34" s="384"/>
      <c r="S34" s="384"/>
      <c r="T34" s="384"/>
      <c r="U34" s="384"/>
      <c r="V34" s="384"/>
      <c r="W34" s="384"/>
      <c r="X34" s="384"/>
      <c r="Y34" s="384"/>
      <c r="Z34" s="384"/>
      <c r="AA34" s="384"/>
      <c r="AB34" s="384"/>
      <c r="AC34" s="384"/>
      <c r="AD34" s="384"/>
      <c r="AE34" s="384"/>
      <c r="AF34" s="384"/>
      <c r="AG34" s="384"/>
      <c r="AH34" s="384"/>
      <c r="AI34" s="384"/>
      <c r="AJ34" s="384"/>
      <c r="AK34" s="384"/>
      <c r="AL34" s="384"/>
      <c r="AM34" s="384"/>
      <c r="AN34" s="384"/>
      <c r="AO34" s="385"/>
      <c r="AP34" s="128"/>
      <c r="AQ34" s="68"/>
      <c r="AR34" s="68"/>
      <c r="AS34" s="69"/>
    </row>
    <row r="35" spans="1:45">
      <c r="A35" s="420" t="s">
        <v>269</v>
      </c>
      <c r="B35" s="421"/>
      <c r="C35" s="421"/>
      <c r="D35" s="421"/>
      <c r="E35" s="421"/>
      <c r="F35" s="351"/>
      <c r="G35" s="351"/>
      <c r="H35" s="351"/>
      <c r="I35" s="351"/>
      <c r="J35" s="351"/>
      <c r="K35" s="351"/>
      <c r="L35" s="351"/>
      <c r="M35" s="351"/>
      <c r="N35" s="351"/>
      <c r="O35" s="351"/>
      <c r="P35" s="351"/>
      <c r="Q35" s="351"/>
      <c r="R35" s="351"/>
      <c r="S35" s="351"/>
      <c r="T35" s="351"/>
      <c r="U35" s="351"/>
      <c r="V35" s="351"/>
      <c r="W35" s="351"/>
      <c r="X35" s="351"/>
      <c r="Y35" s="351"/>
      <c r="Z35" s="351"/>
      <c r="AA35" s="351"/>
      <c r="AB35" s="351"/>
      <c r="AC35" s="351"/>
      <c r="AD35" s="351"/>
      <c r="AE35" s="351"/>
      <c r="AF35" s="351"/>
      <c r="AG35" s="351"/>
      <c r="AH35" s="351"/>
      <c r="AI35" s="351"/>
      <c r="AJ35" s="351"/>
      <c r="AK35" s="351"/>
      <c r="AL35" s="351"/>
      <c r="AM35" s="351"/>
      <c r="AN35" s="351"/>
      <c r="AO35" s="352"/>
      <c r="AP35" s="129"/>
      <c r="AQ35" s="130"/>
      <c r="AR35" s="130"/>
      <c r="AS35" s="131"/>
    </row>
    <row r="36" spans="1:45">
      <c r="A36" s="422" t="s">
        <v>270</v>
      </c>
      <c r="B36" s="423"/>
      <c r="C36" s="423"/>
      <c r="D36" s="423"/>
      <c r="E36" s="423"/>
      <c r="F36" s="351"/>
      <c r="G36" s="351"/>
      <c r="H36" s="351"/>
      <c r="I36" s="351"/>
      <c r="J36" s="351"/>
      <c r="K36" s="351"/>
      <c r="L36" s="351"/>
      <c r="M36" s="351"/>
      <c r="N36" s="351"/>
      <c r="O36" s="351"/>
      <c r="P36" s="351"/>
      <c r="Q36" s="351"/>
      <c r="R36" s="351"/>
      <c r="S36" s="351"/>
      <c r="T36" s="351"/>
      <c r="U36" s="351"/>
      <c r="V36" s="351"/>
      <c r="W36" s="351"/>
      <c r="X36" s="351"/>
      <c r="Y36" s="351"/>
      <c r="Z36" s="351"/>
      <c r="AA36" s="351"/>
      <c r="AB36" s="351"/>
      <c r="AC36" s="351"/>
      <c r="AD36" s="351"/>
      <c r="AE36" s="351"/>
      <c r="AF36" s="351"/>
      <c r="AG36" s="351"/>
      <c r="AH36" s="351"/>
      <c r="AI36" s="351"/>
      <c r="AJ36" s="351"/>
      <c r="AK36" s="351"/>
      <c r="AL36" s="351"/>
      <c r="AM36" s="351"/>
      <c r="AN36" s="351"/>
      <c r="AO36" s="352"/>
      <c r="AP36" s="129"/>
      <c r="AQ36" s="130"/>
      <c r="AR36" s="130"/>
      <c r="AS36" s="131"/>
    </row>
    <row r="37" spans="1:45">
      <c r="A37" s="424"/>
      <c r="B37" s="425"/>
      <c r="C37" s="425"/>
      <c r="D37" s="425"/>
      <c r="E37" s="425"/>
      <c r="F37" s="351"/>
      <c r="G37" s="351"/>
      <c r="H37" s="351"/>
      <c r="I37" s="351"/>
      <c r="J37" s="351"/>
      <c r="K37" s="351"/>
      <c r="L37" s="351"/>
      <c r="M37" s="351"/>
      <c r="N37" s="351"/>
      <c r="O37" s="351"/>
      <c r="P37" s="351"/>
      <c r="Q37" s="351"/>
      <c r="R37" s="351"/>
      <c r="S37" s="351"/>
      <c r="T37" s="351"/>
      <c r="U37" s="351"/>
      <c r="V37" s="351"/>
      <c r="W37" s="351"/>
      <c r="X37" s="351"/>
      <c r="Y37" s="351"/>
      <c r="Z37" s="351"/>
      <c r="AA37" s="351"/>
      <c r="AB37" s="351"/>
      <c r="AC37" s="351"/>
      <c r="AD37" s="351"/>
      <c r="AE37" s="351"/>
      <c r="AF37" s="351"/>
      <c r="AG37" s="351"/>
      <c r="AH37" s="351"/>
      <c r="AI37" s="351"/>
      <c r="AJ37" s="351"/>
      <c r="AK37" s="351"/>
      <c r="AL37" s="351"/>
      <c r="AM37" s="351"/>
      <c r="AN37" s="351"/>
      <c r="AO37" s="352"/>
      <c r="AP37" s="129"/>
      <c r="AQ37" s="130"/>
      <c r="AR37" s="130"/>
      <c r="AS37" s="131"/>
    </row>
    <row r="38" spans="1:45">
      <c r="A38" s="426" t="s">
        <v>271</v>
      </c>
      <c r="B38" s="427"/>
      <c r="C38" s="427"/>
      <c r="D38" s="427"/>
      <c r="E38" s="428"/>
      <c r="F38" s="355"/>
      <c r="G38" s="355"/>
      <c r="H38" s="355"/>
      <c r="I38" s="355"/>
      <c r="J38" s="355"/>
      <c r="K38" s="355"/>
      <c r="L38" s="355"/>
      <c r="M38" s="355"/>
      <c r="N38" s="355"/>
      <c r="O38" s="355"/>
      <c r="P38" s="355"/>
      <c r="Q38" s="355"/>
      <c r="R38" s="355"/>
      <c r="S38" s="355"/>
      <c r="T38" s="355"/>
      <c r="U38" s="355"/>
      <c r="V38" s="355"/>
      <c r="W38" s="355"/>
      <c r="X38" s="355"/>
      <c r="Y38" s="355"/>
      <c r="Z38" s="355"/>
      <c r="AA38" s="355"/>
      <c r="AB38" s="355"/>
      <c r="AC38" s="355"/>
      <c r="AD38" s="355"/>
      <c r="AE38" s="355"/>
      <c r="AF38" s="355"/>
      <c r="AG38" s="355"/>
      <c r="AH38" s="355"/>
      <c r="AI38" s="355"/>
      <c r="AJ38" s="355"/>
      <c r="AK38" s="355"/>
      <c r="AL38" s="355"/>
      <c r="AM38" s="355"/>
      <c r="AN38" s="355"/>
      <c r="AO38" s="356"/>
      <c r="AP38" s="127"/>
      <c r="AQ38" s="63"/>
      <c r="AR38" s="63"/>
      <c r="AS38" s="64"/>
    </row>
    <row r="39" spans="1:45">
      <c r="A39" s="429" t="s">
        <v>254</v>
      </c>
      <c r="B39" s="430"/>
      <c r="C39" s="430"/>
      <c r="D39" s="430"/>
      <c r="E39" s="431"/>
      <c r="F39" s="63"/>
      <c r="G39" s="31" t="s">
        <v>17</v>
      </c>
      <c r="H39" s="353" t="s">
        <v>272</v>
      </c>
      <c r="I39" s="353"/>
      <c r="J39" s="353"/>
      <c r="K39" s="353"/>
      <c r="L39" s="353"/>
      <c r="M39" s="353"/>
      <c r="N39" s="353"/>
      <c r="O39" s="353"/>
      <c r="P39" s="353"/>
      <c r="Q39" s="353"/>
      <c r="R39" s="353"/>
      <c r="S39" s="353"/>
      <c r="T39" s="353"/>
      <c r="U39" s="353"/>
      <c r="V39" s="353"/>
      <c r="W39" s="353"/>
      <c r="X39" s="353"/>
      <c r="Y39" s="353"/>
      <c r="Z39" s="353"/>
      <c r="AA39" s="353"/>
      <c r="AB39" s="353"/>
      <c r="AC39" s="353"/>
      <c r="AD39" s="353"/>
      <c r="AE39" s="353"/>
      <c r="AF39" s="353"/>
      <c r="AG39" s="353"/>
      <c r="AH39" s="353"/>
      <c r="AI39" s="353"/>
      <c r="AJ39" s="353"/>
      <c r="AK39" s="353"/>
      <c r="AL39" s="6"/>
      <c r="AM39" s="139">
        <v>0</v>
      </c>
      <c r="AN39" s="139"/>
      <c r="AO39" s="49"/>
      <c r="AP39" s="127"/>
      <c r="AQ39" s="348">
        <f>AM39</f>
        <v>0</v>
      </c>
      <c r="AR39" s="349"/>
      <c r="AS39" s="64"/>
    </row>
    <row r="40" spans="1:45">
      <c r="A40" s="432"/>
      <c r="B40" s="433"/>
      <c r="C40" s="433"/>
      <c r="D40" s="433"/>
      <c r="E40" s="434"/>
      <c r="F40" s="63"/>
      <c r="G40" s="355" t="s">
        <v>273</v>
      </c>
      <c r="H40" s="355"/>
      <c r="I40" s="355"/>
      <c r="J40" s="355"/>
      <c r="K40" s="355"/>
      <c r="L40" s="355"/>
      <c r="M40" s="355"/>
      <c r="N40" s="355"/>
      <c r="O40" s="355"/>
      <c r="P40" s="355"/>
      <c r="Q40" s="355"/>
      <c r="R40" s="355"/>
      <c r="S40" s="355"/>
      <c r="T40" s="355"/>
      <c r="U40" s="355"/>
      <c r="V40" s="355"/>
      <c r="W40" s="355"/>
      <c r="X40" s="355"/>
      <c r="Y40" s="355"/>
      <c r="Z40" s="355"/>
      <c r="AA40" s="355"/>
      <c r="AB40" s="355"/>
      <c r="AC40" s="355"/>
      <c r="AD40" s="355"/>
      <c r="AE40" s="355"/>
      <c r="AF40" s="355"/>
      <c r="AG40" s="355"/>
      <c r="AH40" s="355"/>
      <c r="AI40" s="355"/>
      <c r="AJ40" s="355"/>
      <c r="AK40" s="355"/>
      <c r="AL40" s="6"/>
      <c r="AM40" s="140"/>
      <c r="AN40" s="140"/>
      <c r="AO40" s="49"/>
      <c r="AP40" s="127"/>
      <c r="AQ40" s="63"/>
      <c r="AR40" s="63"/>
      <c r="AS40" s="64"/>
    </row>
    <row r="41" spans="1:45">
      <c r="A41" s="435" t="s">
        <v>274</v>
      </c>
      <c r="B41" s="436"/>
      <c r="C41" s="436"/>
      <c r="D41" s="436"/>
      <c r="E41" s="437"/>
      <c r="F41" s="357"/>
      <c r="G41" s="357"/>
      <c r="H41" s="357"/>
      <c r="I41" s="357"/>
      <c r="J41" s="357"/>
      <c r="K41" s="357"/>
      <c r="L41" s="357"/>
      <c r="M41" s="357"/>
      <c r="N41" s="357"/>
      <c r="O41" s="357"/>
      <c r="P41" s="357"/>
      <c r="Q41" s="357"/>
      <c r="R41" s="357"/>
      <c r="S41" s="357"/>
      <c r="T41" s="357"/>
      <c r="U41" s="357"/>
      <c r="V41" s="357"/>
      <c r="W41" s="357"/>
      <c r="X41" s="357"/>
      <c r="Y41" s="357"/>
      <c r="Z41" s="357"/>
      <c r="AA41" s="357"/>
      <c r="AB41" s="357"/>
      <c r="AC41" s="357"/>
      <c r="AD41" s="357"/>
      <c r="AE41" s="357"/>
      <c r="AF41" s="357"/>
      <c r="AG41" s="357"/>
      <c r="AH41" s="357"/>
      <c r="AI41" s="357"/>
      <c r="AJ41" s="357"/>
      <c r="AK41" s="357"/>
      <c r="AL41" s="357"/>
      <c r="AM41" s="357"/>
      <c r="AN41" s="357"/>
      <c r="AO41" s="358"/>
      <c r="AP41" s="126"/>
      <c r="AQ41" s="62"/>
      <c r="AR41" s="62"/>
      <c r="AS41" s="65"/>
    </row>
    <row r="42" spans="1:45">
      <c r="A42" s="376" t="s">
        <v>259</v>
      </c>
      <c r="B42" s="377"/>
      <c r="C42" s="377"/>
      <c r="D42" s="377"/>
      <c r="E42" s="413"/>
      <c r="F42" s="357"/>
      <c r="G42" s="357"/>
      <c r="H42" s="357"/>
      <c r="I42" s="357"/>
      <c r="J42" s="357"/>
      <c r="K42" s="357"/>
      <c r="L42" s="357"/>
      <c r="M42" s="357"/>
      <c r="N42" s="357"/>
      <c r="O42" s="357"/>
      <c r="P42" s="357"/>
      <c r="Q42" s="357"/>
      <c r="R42" s="357"/>
      <c r="S42" s="357"/>
      <c r="T42" s="357"/>
      <c r="U42" s="357"/>
      <c r="V42" s="357"/>
      <c r="W42" s="357"/>
      <c r="X42" s="357"/>
      <c r="Y42" s="357"/>
      <c r="Z42" s="357"/>
      <c r="AA42" s="357"/>
      <c r="AB42" s="357"/>
      <c r="AC42" s="357"/>
      <c r="AD42" s="357"/>
      <c r="AE42" s="357"/>
      <c r="AF42" s="357"/>
      <c r="AG42" s="357"/>
      <c r="AH42" s="357"/>
      <c r="AI42" s="357"/>
      <c r="AJ42" s="357"/>
      <c r="AK42" s="357"/>
      <c r="AL42" s="357"/>
      <c r="AM42" s="357"/>
      <c r="AN42" s="357"/>
      <c r="AO42" s="358"/>
      <c r="AP42" s="126"/>
      <c r="AQ42" s="62"/>
      <c r="AR42" s="62"/>
      <c r="AS42" s="65"/>
    </row>
    <row r="43" spans="1:45">
      <c r="A43" s="414" t="s">
        <v>87</v>
      </c>
      <c r="B43" s="415"/>
      <c r="C43" s="415"/>
      <c r="D43" s="415"/>
      <c r="E43" s="416"/>
      <c r="F43" s="62"/>
      <c r="G43" s="31" t="s">
        <v>11</v>
      </c>
      <c r="H43" s="353" t="s">
        <v>60</v>
      </c>
      <c r="I43" s="353"/>
      <c r="J43" s="8"/>
      <c r="K43" s="139">
        <v>0</v>
      </c>
      <c r="L43" s="139"/>
      <c r="M43" s="8"/>
      <c r="N43" s="31" t="s">
        <v>11</v>
      </c>
      <c r="O43" s="353" t="s">
        <v>60</v>
      </c>
      <c r="P43" s="353"/>
      <c r="Q43" s="8"/>
      <c r="R43" s="139">
        <v>3</v>
      </c>
      <c r="S43" s="139"/>
      <c r="T43" s="8"/>
      <c r="U43" s="31" t="s">
        <v>11</v>
      </c>
      <c r="V43" s="353" t="s">
        <v>60</v>
      </c>
      <c r="W43" s="353"/>
      <c r="X43" s="8"/>
      <c r="Y43" s="139">
        <v>3</v>
      </c>
      <c r="Z43" s="139"/>
      <c r="AA43" s="8"/>
      <c r="AB43" s="31" t="s">
        <v>11</v>
      </c>
      <c r="AC43" s="353" t="s">
        <v>60</v>
      </c>
      <c r="AD43" s="353"/>
      <c r="AE43" s="8"/>
      <c r="AF43" s="139">
        <v>3</v>
      </c>
      <c r="AG43" s="139"/>
      <c r="AH43" s="8"/>
      <c r="AI43" s="31" t="s">
        <v>11</v>
      </c>
      <c r="AJ43" s="353" t="s">
        <v>60</v>
      </c>
      <c r="AK43" s="353"/>
      <c r="AL43" s="8"/>
      <c r="AM43" s="139">
        <v>3</v>
      </c>
      <c r="AN43" s="139"/>
      <c r="AO43" s="50"/>
      <c r="AP43" s="126"/>
      <c r="AQ43" s="348">
        <f>K43+R43+Y43+AF43+AM43</f>
        <v>12</v>
      </c>
      <c r="AR43" s="349"/>
      <c r="AS43" s="65"/>
    </row>
    <row r="44" spans="1:45">
      <c r="A44" s="414"/>
      <c r="B44" s="415"/>
      <c r="C44" s="415"/>
      <c r="D44" s="415"/>
      <c r="E44" s="416"/>
      <c r="F44" s="62"/>
      <c r="G44" s="357" t="s">
        <v>275</v>
      </c>
      <c r="H44" s="357"/>
      <c r="I44" s="357"/>
      <c r="J44" s="8"/>
      <c r="K44" s="8"/>
      <c r="L44" s="8"/>
      <c r="M44" s="8"/>
      <c r="N44" s="359">
        <v>45664.679861111108</v>
      </c>
      <c r="O44" s="357"/>
      <c r="P44" s="357"/>
      <c r="Q44" s="8"/>
      <c r="R44" s="8"/>
      <c r="S44" s="8"/>
      <c r="T44" s="8"/>
      <c r="U44" s="359">
        <v>45695.711585648147</v>
      </c>
      <c r="V44" s="357"/>
      <c r="W44" s="357"/>
      <c r="X44" s="8"/>
      <c r="Y44" s="8"/>
      <c r="Z44" s="8"/>
      <c r="AA44" s="8"/>
      <c r="AB44" s="359">
        <v>45723.710717592592</v>
      </c>
      <c r="AC44" s="357"/>
      <c r="AD44" s="357"/>
      <c r="AE44" s="8"/>
      <c r="AF44" s="8"/>
      <c r="AG44" s="8"/>
      <c r="AH44" s="8"/>
      <c r="AI44" s="359">
        <v>45754.686782407407</v>
      </c>
      <c r="AJ44" s="357"/>
      <c r="AK44" s="357"/>
      <c r="AL44" s="8"/>
      <c r="AM44" s="8"/>
      <c r="AN44" s="8"/>
      <c r="AO44" s="8"/>
      <c r="AP44" s="126"/>
      <c r="AQ44" s="62"/>
      <c r="AR44" s="62"/>
      <c r="AS44" s="65"/>
    </row>
    <row r="45" spans="1:45">
      <c r="A45" s="414" t="s">
        <v>94</v>
      </c>
      <c r="B45" s="415"/>
      <c r="C45" s="415"/>
      <c r="D45" s="415"/>
      <c r="E45" s="416"/>
      <c r="F45" s="62"/>
      <c r="G45" s="31" t="s">
        <v>11</v>
      </c>
      <c r="H45" s="353" t="s">
        <v>60</v>
      </c>
      <c r="I45" s="353"/>
      <c r="J45" s="8"/>
      <c r="K45" s="8"/>
      <c r="L45" s="8"/>
      <c r="M45" s="8"/>
      <c r="N45" s="31" t="s">
        <v>11</v>
      </c>
      <c r="O45" s="353" t="s">
        <v>60</v>
      </c>
      <c r="P45" s="353"/>
      <c r="Q45" s="8"/>
      <c r="R45" s="8"/>
      <c r="S45" s="8"/>
      <c r="T45" s="8"/>
      <c r="U45" s="31" t="s">
        <v>11</v>
      </c>
      <c r="V45" s="353" t="s">
        <v>60</v>
      </c>
      <c r="W45" s="353"/>
      <c r="X45" s="8"/>
      <c r="Y45" s="8"/>
      <c r="Z45" s="8"/>
      <c r="AA45" s="8"/>
      <c r="AB45" s="31" t="s">
        <v>11</v>
      </c>
      <c r="AC45" s="353" t="s">
        <v>60</v>
      </c>
      <c r="AD45" s="353"/>
      <c r="AE45" s="8"/>
      <c r="AF45" s="8"/>
      <c r="AG45" s="8"/>
      <c r="AH45" s="8"/>
      <c r="AI45" s="31" t="s">
        <v>11</v>
      </c>
      <c r="AJ45" s="353" t="s">
        <v>60</v>
      </c>
      <c r="AK45" s="353"/>
      <c r="AL45" s="8"/>
      <c r="AM45" s="8"/>
      <c r="AN45" s="8"/>
      <c r="AO45" s="8"/>
      <c r="AP45" s="126"/>
      <c r="AQ45" s="62"/>
      <c r="AR45" s="62"/>
      <c r="AS45" s="65"/>
    </row>
    <row r="46" spans="1:45">
      <c r="A46" s="417"/>
      <c r="B46" s="418"/>
      <c r="C46" s="418"/>
      <c r="D46" s="418"/>
      <c r="E46" s="419"/>
      <c r="F46" s="62"/>
      <c r="G46" s="357" t="s">
        <v>276</v>
      </c>
      <c r="H46" s="357"/>
      <c r="I46" s="357"/>
      <c r="J46" s="8"/>
      <c r="K46" s="8"/>
      <c r="L46" s="8"/>
      <c r="M46" s="8"/>
      <c r="N46" s="359">
        <v>45664.679907407408</v>
      </c>
      <c r="O46" s="357"/>
      <c r="P46" s="357"/>
      <c r="Q46" s="8"/>
      <c r="R46" s="8"/>
      <c r="S46" s="8"/>
      <c r="T46" s="8"/>
      <c r="U46" s="359">
        <v>45695.711608796293</v>
      </c>
      <c r="V46" s="357"/>
      <c r="W46" s="357"/>
      <c r="X46" s="8"/>
      <c r="Y46" s="8"/>
      <c r="Z46" s="8"/>
      <c r="AA46" s="8"/>
      <c r="AB46" s="359">
        <v>45723.710763888892</v>
      </c>
      <c r="AC46" s="357"/>
      <c r="AD46" s="357"/>
      <c r="AE46" s="8"/>
      <c r="AF46" s="8"/>
      <c r="AG46" s="8"/>
      <c r="AH46" s="8"/>
      <c r="AI46" s="359">
        <v>45754.686851851853</v>
      </c>
      <c r="AJ46" s="357"/>
      <c r="AK46" s="357"/>
      <c r="AL46" s="8"/>
      <c r="AM46" s="8"/>
      <c r="AN46" s="8"/>
      <c r="AO46" s="8"/>
      <c r="AP46" s="126"/>
      <c r="AQ46" s="62"/>
      <c r="AR46" s="62"/>
      <c r="AS46" s="65"/>
    </row>
    <row r="47" spans="1:45">
      <c r="A47" s="383"/>
      <c r="B47" s="384"/>
      <c r="C47" s="384"/>
      <c r="D47" s="384"/>
      <c r="E47" s="384"/>
      <c r="F47" s="384"/>
      <c r="G47" s="384"/>
      <c r="H47" s="384"/>
      <c r="I47" s="384"/>
      <c r="J47" s="384"/>
      <c r="K47" s="384"/>
      <c r="L47" s="384"/>
      <c r="M47" s="384"/>
      <c r="N47" s="384"/>
      <c r="O47" s="384"/>
      <c r="P47" s="384"/>
      <c r="Q47" s="384"/>
      <c r="R47" s="384"/>
      <c r="S47" s="384"/>
      <c r="T47" s="384"/>
      <c r="U47" s="384"/>
      <c r="V47" s="384"/>
      <c r="W47" s="384"/>
      <c r="X47" s="384"/>
      <c r="Y47" s="384"/>
      <c r="Z47" s="384"/>
      <c r="AA47" s="384"/>
      <c r="AB47" s="384"/>
      <c r="AC47" s="384"/>
      <c r="AD47" s="384"/>
      <c r="AE47" s="384"/>
      <c r="AF47" s="384"/>
      <c r="AG47" s="384"/>
      <c r="AH47" s="384"/>
      <c r="AI47" s="384"/>
      <c r="AJ47" s="384"/>
      <c r="AK47" s="384"/>
      <c r="AL47" s="384"/>
      <c r="AM47" s="384"/>
      <c r="AN47" s="384"/>
      <c r="AO47" s="385"/>
      <c r="AP47" s="128"/>
      <c r="AQ47" s="68"/>
      <c r="AR47" s="68"/>
      <c r="AS47" s="69"/>
    </row>
    <row r="48" spans="1:45">
      <c r="A48" s="420" t="s">
        <v>277</v>
      </c>
      <c r="B48" s="421"/>
      <c r="C48" s="421"/>
      <c r="D48" s="421"/>
      <c r="E48" s="421"/>
      <c r="F48" s="351"/>
      <c r="G48" s="351"/>
      <c r="H48" s="351"/>
      <c r="I48" s="351"/>
      <c r="J48" s="351"/>
      <c r="K48" s="351"/>
      <c r="L48" s="351"/>
      <c r="M48" s="351"/>
      <c r="N48" s="351"/>
      <c r="O48" s="351"/>
      <c r="P48" s="351"/>
      <c r="Q48" s="351"/>
      <c r="R48" s="351"/>
      <c r="S48" s="351"/>
      <c r="T48" s="351"/>
      <c r="U48" s="351"/>
      <c r="V48" s="351"/>
      <c r="W48" s="351"/>
      <c r="X48" s="351"/>
      <c r="Y48" s="351"/>
      <c r="Z48" s="351"/>
      <c r="AA48" s="351"/>
      <c r="AB48" s="351"/>
      <c r="AC48" s="351"/>
      <c r="AD48" s="351"/>
      <c r="AE48" s="351"/>
      <c r="AF48" s="351"/>
      <c r="AG48" s="351"/>
      <c r="AH48" s="351"/>
      <c r="AI48" s="351"/>
      <c r="AJ48" s="351"/>
      <c r="AK48" s="351"/>
      <c r="AL48" s="351"/>
      <c r="AM48" s="351"/>
      <c r="AN48" s="351"/>
      <c r="AO48" s="352"/>
      <c r="AP48" s="129"/>
      <c r="AQ48" s="130"/>
      <c r="AR48" s="130"/>
      <c r="AS48" s="131"/>
    </row>
    <row r="49" spans="1:45">
      <c r="A49" s="422" t="s">
        <v>184</v>
      </c>
      <c r="B49" s="423"/>
      <c r="C49" s="423"/>
      <c r="D49" s="423"/>
      <c r="E49" s="423"/>
      <c r="F49" s="351"/>
      <c r="G49" s="351"/>
      <c r="H49" s="351"/>
      <c r="I49" s="351"/>
      <c r="J49" s="351"/>
      <c r="K49" s="351"/>
      <c r="L49" s="351"/>
      <c r="M49" s="351"/>
      <c r="N49" s="351"/>
      <c r="O49" s="351"/>
      <c r="P49" s="351"/>
      <c r="Q49" s="351"/>
      <c r="R49" s="351"/>
      <c r="S49" s="351"/>
      <c r="T49" s="351"/>
      <c r="U49" s="351"/>
      <c r="V49" s="351"/>
      <c r="W49" s="351"/>
      <c r="X49" s="351"/>
      <c r="Y49" s="351"/>
      <c r="Z49" s="351"/>
      <c r="AA49" s="351"/>
      <c r="AB49" s="351"/>
      <c r="AC49" s="351"/>
      <c r="AD49" s="351"/>
      <c r="AE49" s="351"/>
      <c r="AF49" s="351"/>
      <c r="AG49" s="351"/>
      <c r="AH49" s="351"/>
      <c r="AI49" s="351"/>
      <c r="AJ49" s="351"/>
      <c r="AK49" s="351"/>
      <c r="AL49" s="351"/>
      <c r="AM49" s="351"/>
      <c r="AN49" s="351"/>
      <c r="AO49" s="352"/>
      <c r="AP49" s="129"/>
      <c r="AQ49" s="130"/>
      <c r="AR49" s="130"/>
      <c r="AS49" s="131"/>
    </row>
    <row r="50" spans="1:45">
      <c r="A50" s="424"/>
      <c r="B50" s="425"/>
      <c r="C50" s="425"/>
      <c r="D50" s="425"/>
      <c r="E50" s="425"/>
      <c r="F50" s="351"/>
      <c r="G50" s="351"/>
      <c r="H50" s="351"/>
      <c r="I50" s="351"/>
      <c r="J50" s="351"/>
      <c r="K50" s="351"/>
      <c r="L50" s="351"/>
      <c r="M50" s="351"/>
      <c r="N50" s="351"/>
      <c r="O50" s="351"/>
      <c r="P50" s="351"/>
      <c r="Q50" s="351"/>
      <c r="R50" s="351"/>
      <c r="S50" s="351"/>
      <c r="T50" s="351"/>
      <c r="U50" s="351"/>
      <c r="V50" s="351"/>
      <c r="W50" s="351"/>
      <c r="X50" s="351"/>
      <c r="Y50" s="351"/>
      <c r="Z50" s="351"/>
      <c r="AA50" s="351"/>
      <c r="AB50" s="351"/>
      <c r="AC50" s="351"/>
      <c r="AD50" s="351"/>
      <c r="AE50" s="351"/>
      <c r="AF50" s="351"/>
      <c r="AG50" s="351"/>
      <c r="AH50" s="351"/>
      <c r="AI50" s="351"/>
      <c r="AJ50" s="351"/>
      <c r="AK50" s="351"/>
      <c r="AL50" s="351"/>
      <c r="AM50" s="351"/>
      <c r="AN50" s="351"/>
      <c r="AO50" s="352"/>
      <c r="AP50" s="129"/>
      <c r="AQ50" s="130"/>
      <c r="AR50" s="130"/>
      <c r="AS50" s="131"/>
    </row>
    <row r="51" spans="1:45">
      <c r="A51" s="426" t="s">
        <v>252</v>
      </c>
      <c r="B51" s="427"/>
      <c r="C51" s="427"/>
      <c r="D51" s="427"/>
      <c r="E51" s="428"/>
      <c r="F51" s="63"/>
      <c r="G51" s="63"/>
      <c r="H51" s="63"/>
      <c r="I51" s="63"/>
      <c r="J51" s="63"/>
      <c r="K51" s="63"/>
      <c r="L51" s="63"/>
      <c r="M51" s="63"/>
      <c r="N51" s="63"/>
      <c r="O51" s="63"/>
      <c r="P51" s="63"/>
      <c r="Q51" s="63"/>
      <c r="R51" s="63"/>
      <c r="S51" s="63"/>
      <c r="T51" s="63"/>
      <c r="U51" s="63"/>
      <c r="V51" s="63"/>
      <c r="W51" s="63"/>
      <c r="X51" s="63"/>
      <c r="Y51" s="63"/>
      <c r="Z51" s="63"/>
      <c r="AA51" s="63"/>
      <c r="AB51" s="63"/>
      <c r="AC51" s="63"/>
      <c r="AD51" s="63"/>
      <c r="AE51" s="63"/>
      <c r="AF51" s="63"/>
      <c r="AG51" s="63"/>
      <c r="AH51" s="63"/>
      <c r="AI51" s="63"/>
      <c r="AJ51" s="63"/>
      <c r="AK51" s="63"/>
      <c r="AL51" s="63"/>
      <c r="AM51" s="63"/>
      <c r="AN51" s="63"/>
      <c r="AO51" s="64"/>
      <c r="AP51" s="127"/>
      <c r="AQ51" s="63"/>
      <c r="AR51" s="63"/>
      <c r="AS51" s="64"/>
    </row>
    <row r="52" spans="1:45">
      <c r="A52" s="429" t="s">
        <v>253</v>
      </c>
      <c r="B52" s="430"/>
      <c r="C52" s="430"/>
      <c r="D52" s="430"/>
      <c r="E52" s="431"/>
      <c r="F52" s="63"/>
      <c r="G52" s="31" t="s">
        <v>11</v>
      </c>
      <c r="H52" s="353" t="s">
        <v>36</v>
      </c>
      <c r="I52" s="353"/>
      <c r="J52" s="353"/>
      <c r="K52" s="353"/>
      <c r="L52" s="353"/>
      <c r="M52" s="353"/>
      <c r="N52" s="353"/>
      <c r="O52" s="353"/>
      <c r="P52" s="353"/>
      <c r="Q52" s="353"/>
      <c r="R52" s="353"/>
      <c r="S52" s="353"/>
      <c r="T52" s="353"/>
      <c r="U52" s="353"/>
      <c r="V52" s="353"/>
      <c r="W52" s="353"/>
      <c r="X52" s="353"/>
      <c r="Y52" s="353"/>
      <c r="Z52" s="353"/>
      <c r="AA52" s="353"/>
      <c r="AB52" s="353"/>
      <c r="AC52" s="353"/>
      <c r="AD52" s="353"/>
      <c r="AE52" s="353"/>
      <c r="AF52" s="353"/>
      <c r="AG52" s="353"/>
      <c r="AH52" s="353"/>
      <c r="AI52" s="353"/>
      <c r="AJ52" s="353"/>
      <c r="AK52" s="353"/>
      <c r="AL52" s="6"/>
      <c r="AM52" s="139">
        <v>14</v>
      </c>
      <c r="AN52" s="139"/>
      <c r="AO52" s="49"/>
      <c r="AP52" s="127"/>
      <c r="AQ52" s="348">
        <f>AM52</f>
        <v>14</v>
      </c>
      <c r="AR52" s="349"/>
      <c r="AS52" s="64"/>
    </row>
    <row r="53" spans="1:45">
      <c r="A53" s="429"/>
      <c r="B53" s="430"/>
      <c r="C53" s="430"/>
      <c r="D53" s="430"/>
      <c r="E53" s="431"/>
      <c r="F53" s="63"/>
      <c r="G53" s="354">
        <v>45695.694861111115</v>
      </c>
      <c r="H53" s="355"/>
      <c r="I53" s="355"/>
      <c r="J53" s="355"/>
      <c r="K53" s="355"/>
      <c r="L53" s="355"/>
      <c r="M53" s="355"/>
      <c r="N53" s="355"/>
      <c r="O53" s="355"/>
      <c r="P53" s="355"/>
      <c r="Q53" s="355"/>
      <c r="R53" s="355"/>
      <c r="S53" s="355"/>
      <c r="T53" s="355"/>
      <c r="U53" s="355"/>
      <c r="V53" s="355"/>
      <c r="W53" s="355"/>
      <c r="X53" s="355"/>
      <c r="Y53" s="355"/>
      <c r="Z53" s="355"/>
      <c r="AA53" s="355"/>
      <c r="AB53" s="355"/>
      <c r="AC53" s="355"/>
      <c r="AD53" s="355"/>
      <c r="AE53" s="355"/>
      <c r="AF53" s="355"/>
      <c r="AG53" s="355"/>
      <c r="AH53" s="355"/>
      <c r="AI53" s="355"/>
      <c r="AJ53" s="355"/>
      <c r="AK53" s="355"/>
      <c r="AL53" s="6"/>
      <c r="AM53" s="140"/>
      <c r="AN53" s="140"/>
      <c r="AO53" s="49"/>
      <c r="AP53" s="127"/>
      <c r="AQ53" s="63"/>
      <c r="AR53" s="63"/>
      <c r="AS53" s="64"/>
    </row>
    <row r="54" spans="1:45">
      <c r="A54" s="429" t="s">
        <v>254</v>
      </c>
      <c r="B54" s="430"/>
      <c r="C54" s="430"/>
      <c r="D54" s="430"/>
      <c r="E54" s="431"/>
      <c r="F54" s="63"/>
      <c r="G54" s="31" t="s">
        <v>17</v>
      </c>
      <c r="H54" s="353" t="s">
        <v>278</v>
      </c>
      <c r="I54" s="353"/>
      <c r="J54" s="353"/>
      <c r="K54" s="353"/>
      <c r="L54" s="353"/>
      <c r="M54" s="353"/>
      <c r="N54" s="353"/>
      <c r="O54" s="353"/>
      <c r="P54" s="353"/>
      <c r="Q54" s="353"/>
      <c r="R54" s="353"/>
      <c r="S54" s="353"/>
      <c r="T54" s="353"/>
      <c r="U54" s="353"/>
      <c r="V54" s="353"/>
      <c r="W54" s="353"/>
      <c r="X54" s="353"/>
      <c r="Y54" s="353"/>
      <c r="Z54" s="353"/>
      <c r="AA54" s="353"/>
      <c r="AB54" s="353"/>
      <c r="AC54" s="353"/>
      <c r="AD54" s="353"/>
      <c r="AE54" s="353"/>
      <c r="AF54" s="353"/>
      <c r="AG54" s="353"/>
      <c r="AH54" s="353"/>
      <c r="AI54" s="353"/>
      <c r="AJ54" s="353"/>
      <c r="AK54" s="353"/>
      <c r="AL54" s="6"/>
      <c r="AM54" s="139">
        <v>0</v>
      </c>
      <c r="AN54" s="139"/>
      <c r="AO54" s="49"/>
      <c r="AP54" s="127"/>
      <c r="AQ54" s="348">
        <f>AM54</f>
        <v>0</v>
      </c>
      <c r="AR54" s="349"/>
      <c r="AS54" s="64"/>
    </row>
    <row r="55" spans="1:45">
      <c r="A55" s="432"/>
      <c r="B55" s="433"/>
      <c r="C55" s="433"/>
      <c r="D55" s="433"/>
      <c r="E55" s="434"/>
      <c r="F55" s="63"/>
      <c r="G55" s="355" t="s">
        <v>273</v>
      </c>
      <c r="H55" s="355"/>
      <c r="I55" s="355"/>
      <c r="J55" s="355"/>
      <c r="K55" s="355"/>
      <c r="L55" s="355"/>
      <c r="M55" s="355"/>
      <c r="N55" s="355"/>
      <c r="O55" s="355"/>
      <c r="P55" s="355"/>
      <c r="Q55" s="355"/>
      <c r="R55" s="355"/>
      <c r="S55" s="355"/>
      <c r="T55" s="355"/>
      <c r="U55" s="355"/>
      <c r="V55" s="355"/>
      <c r="W55" s="355"/>
      <c r="X55" s="355"/>
      <c r="Y55" s="355"/>
      <c r="Z55" s="355"/>
      <c r="AA55" s="355"/>
      <c r="AB55" s="355"/>
      <c r="AC55" s="355"/>
      <c r="AD55" s="355"/>
      <c r="AE55" s="355"/>
      <c r="AF55" s="355"/>
      <c r="AG55" s="355"/>
      <c r="AH55" s="355"/>
      <c r="AI55" s="355"/>
      <c r="AJ55" s="355"/>
      <c r="AK55" s="355"/>
      <c r="AL55" s="6"/>
      <c r="AM55" s="140"/>
      <c r="AN55" s="140"/>
      <c r="AO55" s="49"/>
      <c r="AP55" s="127"/>
      <c r="AQ55" s="63"/>
      <c r="AR55" s="63"/>
      <c r="AS55" s="64"/>
    </row>
    <row r="56" spans="1:45">
      <c r="A56" s="435" t="s">
        <v>279</v>
      </c>
      <c r="B56" s="436"/>
      <c r="C56" s="436"/>
      <c r="D56" s="436"/>
      <c r="E56" s="437"/>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5"/>
      <c r="AP56" s="126"/>
      <c r="AQ56" s="62"/>
      <c r="AR56" s="62"/>
      <c r="AS56" s="65"/>
    </row>
    <row r="57" spans="1:45">
      <c r="A57" s="376" t="s">
        <v>256</v>
      </c>
      <c r="B57" s="377"/>
      <c r="C57" s="377"/>
      <c r="D57" s="377"/>
      <c r="E57" s="413"/>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5"/>
      <c r="AP57" s="126"/>
      <c r="AQ57" s="62"/>
      <c r="AR57" s="62"/>
      <c r="AS57" s="65"/>
    </row>
    <row r="58" spans="1:45">
      <c r="A58" s="414" t="s">
        <v>87</v>
      </c>
      <c r="B58" s="415"/>
      <c r="C58" s="415"/>
      <c r="D58" s="415"/>
      <c r="E58" s="416"/>
      <c r="F58" s="62"/>
      <c r="G58" s="31" t="s">
        <v>11</v>
      </c>
      <c r="H58" s="353" t="s">
        <v>36</v>
      </c>
      <c r="I58" s="353"/>
      <c r="J58" s="8"/>
      <c r="K58" s="139">
        <v>4</v>
      </c>
      <c r="L58" s="139"/>
      <c r="M58" s="8"/>
      <c r="N58" s="31" t="s">
        <v>11</v>
      </c>
      <c r="O58" s="353" t="s">
        <v>36</v>
      </c>
      <c r="P58" s="353"/>
      <c r="Q58" s="8"/>
      <c r="R58" s="139">
        <v>2</v>
      </c>
      <c r="S58" s="139"/>
      <c r="T58" s="8"/>
      <c r="U58" s="31" t="s">
        <v>11</v>
      </c>
      <c r="V58" s="353" t="s">
        <v>36</v>
      </c>
      <c r="W58" s="353"/>
      <c r="X58" s="8"/>
      <c r="Y58" s="139">
        <v>6</v>
      </c>
      <c r="Z58" s="139"/>
      <c r="AA58" s="8"/>
      <c r="AB58" s="31" t="s">
        <v>11</v>
      </c>
      <c r="AC58" s="353" t="s">
        <v>36</v>
      </c>
      <c r="AD58" s="353"/>
      <c r="AE58" s="8"/>
      <c r="AF58" s="139">
        <v>5</v>
      </c>
      <c r="AG58" s="139"/>
      <c r="AH58" s="8"/>
      <c r="AI58" s="31" t="s">
        <v>11</v>
      </c>
      <c r="AJ58" s="353" t="s">
        <v>36</v>
      </c>
      <c r="AK58" s="353"/>
      <c r="AL58" s="8"/>
      <c r="AM58" s="139">
        <v>2</v>
      </c>
      <c r="AN58" s="139"/>
      <c r="AO58" s="50"/>
      <c r="AP58" s="126"/>
      <c r="AQ58" s="348">
        <f>K58+R58+Y58+AF58+AM58</f>
        <v>19</v>
      </c>
      <c r="AR58" s="349"/>
      <c r="AS58" s="65"/>
    </row>
    <row r="59" spans="1:45">
      <c r="A59" s="414"/>
      <c r="B59" s="415"/>
      <c r="C59" s="415"/>
      <c r="D59" s="415"/>
      <c r="E59" s="416"/>
      <c r="F59" s="62"/>
      <c r="G59" s="357" t="s">
        <v>280</v>
      </c>
      <c r="H59" s="357"/>
      <c r="I59" s="357"/>
      <c r="J59" s="8"/>
      <c r="K59" s="8"/>
      <c r="L59" s="8"/>
      <c r="M59" s="8"/>
      <c r="N59" s="359">
        <v>45664.698692129627</v>
      </c>
      <c r="O59" s="357"/>
      <c r="P59" s="357"/>
      <c r="Q59" s="8"/>
      <c r="R59" s="8"/>
      <c r="S59" s="8"/>
      <c r="T59" s="8"/>
      <c r="U59" s="359">
        <v>45695.694780092592</v>
      </c>
      <c r="V59" s="357"/>
      <c r="W59" s="357"/>
      <c r="X59" s="8"/>
      <c r="Y59" s="8"/>
      <c r="Z59" s="8"/>
      <c r="AA59" s="8"/>
      <c r="AB59" s="359">
        <v>45723.689872685187</v>
      </c>
      <c r="AC59" s="357"/>
      <c r="AD59" s="357"/>
      <c r="AE59" s="8"/>
      <c r="AF59" s="8"/>
      <c r="AG59" s="8"/>
      <c r="AH59" s="8"/>
      <c r="AI59" s="359">
        <v>45754.709664351853</v>
      </c>
      <c r="AJ59" s="357"/>
      <c r="AK59" s="357"/>
      <c r="AL59" s="8"/>
      <c r="AM59" s="8"/>
      <c r="AN59" s="8"/>
      <c r="AO59" s="8"/>
      <c r="AP59" s="135"/>
      <c r="AQ59" s="8"/>
      <c r="AR59" s="8"/>
      <c r="AS59" s="50"/>
    </row>
    <row r="60" spans="1:45">
      <c r="A60" s="414" t="s">
        <v>94</v>
      </c>
      <c r="B60" s="415"/>
      <c r="C60" s="415"/>
      <c r="D60" s="415"/>
      <c r="E60" s="416"/>
      <c r="F60" s="62"/>
      <c r="G60" s="31" t="s">
        <v>11</v>
      </c>
      <c r="H60" s="353" t="s">
        <v>36</v>
      </c>
      <c r="I60" s="353"/>
      <c r="J60" s="8"/>
      <c r="K60" s="8"/>
      <c r="L60" s="8"/>
      <c r="M60" s="8"/>
      <c r="N60" s="31" t="s">
        <v>11</v>
      </c>
      <c r="O60" s="353" t="s">
        <v>36</v>
      </c>
      <c r="P60" s="353"/>
      <c r="Q60" s="8"/>
      <c r="R60" s="8"/>
      <c r="S60" s="8"/>
      <c r="T60" s="8"/>
      <c r="U60" s="31" t="s">
        <v>11</v>
      </c>
      <c r="V60" s="353" t="s">
        <v>36</v>
      </c>
      <c r="W60" s="353"/>
      <c r="X60" s="8"/>
      <c r="Y60" s="8"/>
      <c r="Z60" s="8"/>
      <c r="AA60" s="8"/>
      <c r="AB60" s="31" t="s">
        <v>11</v>
      </c>
      <c r="AC60" s="353" t="s">
        <v>36</v>
      </c>
      <c r="AD60" s="353"/>
      <c r="AE60" s="8"/>
      <c r="AF60" s="8"/>
      <c r="AG60" s="8"/>
      <c r="AH60" s="8"/>
      <c r="AI60" s="31" t="s">
        <v>11</v>
      </c>
      <c r="AJ60" s="353" t="s">
        <v>36</v>
      </c>
      <c r="AK60" s="353"/>
      <c r="AL60" s="8"/>
      <c r="AM60" s="8"/>
      <c r="AN60" s="8"/>
      <c r="AO60" s="8"/>
      <c r="AP60" s="135"/>
      <c r="AQ60" s="8"/>
      <c r="AR60" s="8"/>
      <c r="AS60" s="50"/>
    </row>
    <row r="61" spans="1:45">
      <c r="A61" s="417"/>
      <c r="B61" s="418"/>
      <c r="C61" s="418"/>
      <c r="D61" s="418"/>
      <c r="E61" s="419"/>
      <c r="F61" s="62"/>
      <c r="G61" s="357" t="s">
        <v>281</v>
      </c>
      <c r="H61" s="357"/>
      <c r="I61" s="357"/>
      <c r="J61" s="8"/>
      <c r="K61" s="8"/>
      <c r="L61" s="8"/>
      <c r="M61" s="8"/>
      <c r="N61" s="359">
        <v>45664.69871527778</v>
      </c>
      <c r="O61" s="357"/>
      <c r="P61" s="357"/>
      <c r="Q61" s="8"/>
      <c r="R61" s="8"/>
      <c r="S61" s="8"/>
      <c r="T61" s="8"/>
      <c r="U61" s="359">
        <v>45695.694803240738</v>
      </c>
      <c r="V61" s="357"/>
      <c r="W61" s="357"/>
      <c r="X61" s="8"/>
      <c r="Y61" s="8"/>
      <c r="Z61" s="8"/>
      <c r="AA61" s="8"/>
      <c r="AB61" s="359">
        <v>45723.68990740741</v>
      </c>
      <c r="AC61" s="357"/>
      <c r="AD61" s="357"/>
      <c r="AE61" s="8"/>
      <c r="AF61" s="8"/>
      <c r="AG61" s="8"/>
      <c r="AH61" s="8"/>
      <c r="AI61" s="359">
        <v>45754.709722222222</v>
      </c>
      <c r="AJ61" s="357"/>
      <c r="AK61" s="357"/>
      <c r="AL61" s="8"/>
      <c r="AM61" s="8"/>
      <c r="AN61" s="8"/>
      <c r="AO61" s="8"/>
      <c r="AP61" s="135"/>
      <c r="AQ61" s="8"/>
      <c r="AR61" s="8"/>
      <c r="AS61" s="50"/>
    </row>
    <row r="62" spans="1:45">
      <c r="A62" s="426" t="s">
        <v>259</v>
      </c>
      <c r="B62" s="427"/>
      <c r="C62" s="427"/>
      <c r="D62" s="427"/>
      <c r="E62" s="428"/>
      <c r="F62" s="63"/>
      <c r="G62" s="63"/>
      <c r="H62" s="63"/>
      <c r="I62" s="63"/>
      <c r="J62" s="63"/>
      <c r="K62" s="63"/>
      <c r="L62" s="63"/>
      <c r="M62" s="63"/>
      <c r="N62" s="63"/>
      <c r="O62" s="63"/>
      <c r="P62" s="63"/>
      <c r="Q62" s="63"/>
      <c r="R62" s="63"/>
      <c r="S62" s="63"/>
      <c r="T62" s="63"/>
      <c r="U62" s="63"/>
      <c r="V62" s="63"/>
      <c r="W62" s="63"/>
      <c r="X62" s="63"/>
      <c r="Y62" s="63"/>
      <c r="Z62" s="63"/>
      <c r="AA62" s="63"/>
      <c r="AB62" s="63"/>
      <c r="AC62" s="63"/>
      <c r="AD62" s="63"/>
      <c r="AE62" s="63"/>
      <c r="AF62" s="63"/>
      <c r="AG62" s="63"/>
      <c r="AH62" s="63"/>
      <c r="AI62" s="63"/>
      <c r="AJ62" s="63"/>
      <c r="AK62" s="63"/>
      <c r="AL62" s="63"/>
      <c r="AM62" s="63"/>
      <c r="AN62" s="63"/>
      <c r="AO62" s="64"/>
      <c r="AP62" s="127"/>
      <c r="AQ62" s="63"/>
      <c r="AR62" s="63"/>
      <c r="AS62" s="64"/>
    </row>
    <row r="63" spans="1:45">
      <c r="A63" s="429" t="s">
        <v>87</v>
      </c>
      <c r="B63" s="430"/>
      <c r="C63" s="430"/>
      <c r="D63" s="430"/>
      <c r="E63" s="431"/>
      <c r="F63" s="63"/>
      <c r="G63" s="31" t="s">
        <v>11</v>
      </c>
      <c r="H63" s="348" t="s">
        <v>36</v>
      </c>
      <c r="I63" s="349"/>
      <c r="J63" s="6"/>
      <c r="K63" s="139">
        <v>1</v>
      </c>
      <c r="L63" s="139"/>
      <c r="M63" s="6"/>
      <c r="N63" s="31" t="s">
        <v>11</v>
      </c>
      <c r="O63" s="348" t="s">
        <v>36</v>
      </c>
      <c r="P63" s="349"/>
      <c r="Q63" s="6"/>
      <c r="R63" s="139">
        <v>1</v>
      </c>
      <c r="S63" s="139"/>
      <c r="T63" s="6"/>
      <c r="U63" s="31" t="s">
        <v>17</v>
      </c>
      <c r="V63" s="348" t="s">
        <v>282</v>
      </c>
      <c r="W63" s="349"/>
      <c r="X63" s="6"/>
      <c r="Y63" s="139">
        <v>0</v>
      </c>
      <c r="Z63" s="139"/>
      <c r="AA63" s="6"/>
      <c r="AB63" s="31" t="s">
        <v>17</v>
      </c>
      <c r="AC63" s="348" t="s">
        <v>283</v>
      </c>
      <c r="AD63" s="349"/>
      <c r="AE63" s="6"/>
      <c r="AF63" s="139">
        <v>0</v>
      </c>
      <c r="AG63" s="139"/>
      <c r="AH63" s="6"/>
      <c r="AI63" s="31" t="s">
        <v>17</v>
      </c>
      <c r="AJ63" s="348" t="s">
        <v>284</v>
      </c>
      <c r="AK63" s="349"/>
      <c r="AL63" s="6"/>
      <c r="AM63" s="139">
        <v>0</v>
      </c>
      <c r="AN63" s="139"/>
      <c r="AO63" s="49"/>
      <c r="AP63" s="127"/>
      <c r="AQ63" s="348">
        <f>K63+R63+Y63+AF63+AM63</f>
        <v>2</v>
      </c>
      <c r="AR63" s="349"/>
      <c r="AS63" s="64"/>
    </row>
    <row r="64" spans="1:45">
      <c r="A64" s="429"/>
      <c r="B64" s="430"/>
      <c r="C64" s="430"/>
      <c r="D64" s="430"/>
      <c r="E64" s="431"/>
      <c r="F64" s="63"/>
      <c r="G64" s="378" t="s">
        <v>285</v>
      </c>
      <c r="H64" s="378"/>
      <c r="I64" s="378"/>
      <c r="J64" s="6"/>
      <c r="K64" s="6"/>
      <c r="L64" s="6"/>
      <c r="M64" s="6"/>
      <c r="N64" s="379">
        <v>45664.698738425926</v>
      </c>
      <c r="O64" s="378"/>
      <c r="P64" s="378"/>
      <c r="Q64" s="6"/>
      <c r="R64" s="6"/>
      <c r="S64" s="6"/>
      <c r="T64" s="6"/>
      <c r="U64" s="378" t="s">
        <v>273</v>
      </c>
      <c r="V64" s="378"/>
      <c r="W64" s="378"/>
      <c r="X64" s="6"/>
      <c r="Y64" s="6"/>
      <c r="Z64" s="6"/>
      <c r="AA64" s="6"/>
      <c r="AB64" s="378" t="s">
        <v>273</v>
      </c>
      <c r="AC64" s="378"/>
      <c r="AD64" s="378"/>
      <c r="AE64" s="6"/>
      <c r="AF64" s="6"/>
      <c r="AG64" s="6"/>
      <c r="AH64" s="6"/>
      <c r="AI64" s="378" t="s">
        <v>273</v>
      </c>
      <c r="AJ64" s="378"/>
      <c r="AK64" s="378"/>
      <c r="AL64" s="6"/>
      <c r="AM64" s="6"/>
      <c r="AN64" s="6"/>
      <c r="AO64" s="6"/>
      <c r="AP64" s="127"/>
      <c r="AQ64" s="63"/>
      <c r="AR64" s="63"/>
      <c r="AS64" s="64"/>
    </row>
    <row r="65" spans="1:45">
      <c r="A65" s="429" t="s">
        <v>94</v>
      </c>
      <c r="B65" s="430"/>
      <c r="C65" s="430"/>
      <c r="D65" s="430"/>
      <c r="E65" s="431"/>
      <c r="F65" s="63"/>
      <c r="G65" s="31" t="s">
        <v>11</v>
      </c>
      <c r="H65" s="348" t="s">
        <v>36</v>
      </c>
      <c r="I65" s="349"/>
      <c r="J65" s="6"/>
      <c r="K65" s="6"/>
      <c r="L65" s="6"/>
      <c r="M65" s="6"/>
      <c r="N65" s="31" t="s">
        <v>11</v>
      </c>
      <c r="O65" s="348" t="s">
        <v>36</v>
      </c>
      <c r="P65" s="349"/>
      <c r="Q65" s="6"/>
      <c r="R65" s="6"/>
      <c r="S65" s="6"/>
      <c r="T65" s="6"/>
      <c r="U65" s="31" t="s">
        <v>11</v>
      </c>
      <c r="V65" s="348" t="s">
        <v>36</v>
      </c>
      <c r="W65" s="349"/>
      <c r="X65" s="6"/>
      <c r="Y65" s="6"/>
      <c r="Z65" s="6"/>
      <c r="AA65" s="6"/>
      <c r="AB65" s="31" t="s">
        <v>11</v>
      </c>
      <c r="AC65" s="348" t="s">
        <v>36</v>
      </c>
      <c r="AD65" s="349"/>
      <c r="AE65" s="6"/>
      <c r="AF65" s="6"/>
      <c r="AG65" s="6"/>
      <c r="AH65" s="6"/>
      <c r="AI65" s="31" t="s">
        <v>11</v>
      </c>
      <c r="AJ65" s="348" t="s">
        <v>36</v>
      </c>
      <c r="AK65" s="349"/>
      <c r="AL65" s="6"/>
      <c r="AM65" s="6"/>
      <c r="AN65" s="6"/>
      <c r="AO65" s="6"/>
      <c r="AP65" s="127"/>
      <c r="AQ65" s="63"/>
      <c r="AR65" s="63"/>
      <c r="AS65" s="64"/>
    </row>
    <row r="66" spans="1:45">
      <c r="A66" s="432"/>
      <c r="B66" s="433"/>
      <c r="C66" s="433"/>
      <c r="D66" s="433"/>
      <c r="E66" s="434"/>
      <c r="F66" s="63"/>
      <c r="G66" s="373" t="s">
        <v>286</v>
      </c>
      <c r="H66" s="373"/>
      <c r="I66" s="373"/>
      <c r="J66" s="6"/>
      <c r="K66" s="6"/>
      <c r="L66" s="6"/>
      <c r="M66" s="6"/>
      <c r="N66" s="412">
        <v>45664.698761574073</v>
      </c>
      <c r="O66" s="373"/>
      <c r="P66" s="373"/>
      <c r="Q66" s="6"/>
      <c r="R66" s="6"/>
      <c r="S66" s="6"/>
      <c r="T66" s="6"/>
      <c r="U66" s="412">
        <v>45695.694814814815</v>
      </c>
      <c r="V66" s="373"/>
      <c r="W66" s="373"/>
      <c r="X66" s="6"/>
      <c r="Y66" s="6"/>
      <c r="Z66" s="6"/>
      <c r="AA66" s="6"/>
      <c r="AB66" s="412">
        <v>45723.68986111111</v>
      </c>
      <c r="AC66" s="373"/>
      <c r="AD66" s="373"/>
      <c r="AE66" s="6"/>
      <c r="AF66" s="6"/>
      <c r="AG66" s="6"/>
      <c r="AH66" s="6"/>
      <c r="AI66" s="412">
        <v>45754.709814814814</v>
      </c>
      <c r="AJ66" s="373"/>
      <c r="AK66" s="373"/>
      <c r="AL66" s="6"/>
      <c r="AM66" s="6"/>
      <c r="AN66" s="6"/>
      <c r="AO66" s="6"/>
      <c r="AP66" s="127"/>
      <c r="AQ66" s="63"/>
      <c r="AR66" s="63"/>
      <c r="AS66" s="64"/>
    </row>
    <row r="67" spans="1:45">
      <c r="A67" s="383"/>
      <c r="B67" s="384"/>
      <c r="C67" s="384"/>
      <c r="D67" s="384"/>
      <c r="E67" s="384"/>
      <c r="F67" s="384"/>
      <c r="G67" s="384"/>
      <c r="H67" s="384"/>
      <c r="I67" s="384"/>
      <c r="J67" s="384"/>
      <c r="K67" s="384"/>
      <c r="L67" s="384"/>
      <c r="M67" s="384"/>
      <c r="N67" s="384"/>
      <c r="O67" s="384"/>
      <c r="P67" s="384"/>
      <c r="Q67" s="384"/>
      <c r="R67" s="384"/>
      <c r="S67" s="384"/>
      <c r="T67" s="384"/>
      <c r="U67" s="384"/>
      <c r="V67" s="384"/>
      <c r="W67" s="384"/>
      <c r="X67" s="384"/>
      <c r="Y67" s="384"/>
      <c r="Z67" s="384"/>
      <c r="AA67" s="384"/>
      <c r="AB67" s="384"/>
      <c r="AC67" s="384"/>
      <c r="AD67" s="384"/>
      <c r="AE67" s="384"/>
      <c r="AF67" s="384"/>
      <c r="AG67" s="384"/>
      <c r="AH67" s="384"/>
      <c r="AI67" s="384"/>
      <c r="AJ67" s="384"/>
      <c r="AK67" s="384"/>
      <c r="AL67" s="384"/>
      <c r="AM67" s="384"/>
      <c r="AN67" s="384"/>
      <c r="AO67" s="385"/>
      <c r="AP67" s="128"/>
      <c r="AQ67" s="68"/>
      <c r="AR67" s="68"/>
      <c r="AS67" s="69"/>
    </row>
    <row r="68" spans="1:45">
      <c r="A68" s="420" t="s">
        <v>287</v>
      </c>
      <c r="B68" s="421"/>
      <c r="C68" s="421"/>
      <c r="D68" s="421"/>
      <c r="E68" s="421"/>
      <c r="F68" s="351"/>
      <c r="G68" s="351"/>
      <c r="H68" s="351"/>
      <c r="I68" s="351"/>
      <c r="J68" s="351"/>
      <c r="K68" s="351"/>
      <c r="L68" s="351"/>
      <c r="M68" s="351"/>
      <c r="N68" s="351"/>
      <c r="O68" s="351"/>
      <c r="P68" s="351"/>
      <c r="Q68" s="351"/>
      <c r="R68" s="351"/>
      <c r="S68" s="351"/>
      <c r="T68" s="351"/>
      <c r="U68" s="351"/>
      <c r="V68" s="351"/>
      <c r="W68" s="351"/>
      <c r="X68" s="351"/>
      <c r="Y68" s="351"/>
      <c r="Z68" s="351"/>
      <c r="AA68" s="351"/>
      <c r="AB68" s="351"/>
      <c r="AC68" s="351"/>
      <c r="AD68" s="351"/>
      <c r="AE68" s="351"/>
      <c r="AF68" s="351"/>
      <c r="AG68" s="351"/>
      <c r="AH68" s="351"/>
      <c r="AI68" s="351"/>
      <c r="AJ68" s="351"/>
      <c r="AK68" s="351"/>
      <c r="AL68" s="351"/>
      <c r="AM68" s="351"/>
      <c r="AN68" s="351"/>
      <c r="AO68" s="352"/>
      <c r="AP68" s="129"/>
      <c r="AQ68" s="130"/>
      <c r="AR68" s="130"/>
      <c r="AS68" s="131"/>
    </row>
    <row r="69" spans="1:45">
      <c r="A69" s="422" t="s">
        <v>288</v>
      </c>
      <c r="B69" s="423"/>
      <c r="C69" s="423"/>
      <c r="D69" s="423"/>
      <c r="E69" s="423"/>
      <c r="F69" s="351"/>
      <c r="G69" s="351"/>
      <c r="H69" s="351"/>
      <c r="I69" s="351"/>
      <c r="J69" s="351"/>
      <c r="K69" s="351"/>
      <c r="L69" s="351"/>
      <c r="M69" s="351"/>
      <c r="N69" s="351"/>
      <c r="O69" s="351"/>
      <c r="P69" s="351"/>
      <c r="Q69" s="351"/>
      <c r="R69" s="351"/>
      <c r="S69" s="351"/>
      <c r="T69" s="351"/>
      <c r="U69" s="351"/>
      <c r="V69" s="351"/>
      <c r="W69" s="351"/>
      <c r="X69" s="351"/>
      <c r="Y69" s="351"/>
      <c r="Z69" s="351"/>
      <c r="AA69" s="351"/>
      <c r="AB69" s="351"/>
      <c r="AC69" s="351"/>
      <c r="AD69" s="351"/>
      <c r="AE69" s="351"/>
      <c r="AF69" s="351"/>
      <c r="AG69" s="351"/>
      <c r="AH69" s="351"/>
      <c r="AI69" s="351"/>
      <c r="AJ69" s="351"/>
      <c r="AK69" s="351"/>
      <c r="AL69" s="351"/>
      <c r="AM69" s="351"/>
      <c r="AN69" s="351"/>
      <c r="AO69" s="352"/>
      <c r="AP69" s="129"/>
      <c r="AQ69" s="130"/>
      <c r="AR69" s="130"/>
      <c r="AS69" s="131"/>
    </row>
    <row r="70" spans="1:45">
      <c r="A70" s="424"/>
      <c r="B70" s="425"/>
      <c r="C70" s="425"/>
      <c r="D70" s="425"/>
      <c r="E70" s="425"/>
      <c r="F70" s="351"/>
      <c r="G70" s="351"/>
      <c r="H70" s="351"/>
      <c r="I70" s="351"/>
      <c r="J70" s="351"/>
      <c r="K70" s="351"/>
      <c r="L70" s="351"/>
      <c r="M70" s="351"/>
      <c r="N70" s="351"/>
      <c r="O70" s="351"/>
      <c r="P70" s="351"/>
      <c r="Q70" s="351"/>
      <c r="R70" s="351"/>
      <c r="S70" s="351"/>
      <c r="T70" s="351"/>
      <c r="U70" s="351"/>
      <c r="V70" s="351"/>
      <c r="W70" s="351"/>
      <c r="X70" s="351"/>
      <c r="Y70" s="351"/>
      <c r="Z70" s="351"/>
      <c r="AA70" s="351"/>
      <c r="AB70" s="351"/>
      <c r="AC70" s="351"/>
      <c r="AD70" s="351"/>
      <c r="AE70" s="351"/>
      <c r="AF70" s="351"/>
      <c r="AG70" s="351"/>
      <c r="AH70" s="351"/>
      <c r="AI70" s="351"/>
      <c r="AJ70" s="351"/>
      <c r="AK70" s="351"/>
      <c r="AL70" s="351"/>
      <c r="AM70" s="351"/>
      <c r="AN70" s="351"/>
      <c r="AO70" s="352"/>
      <c r="AP70" s="129"/>
      <c r="AQ70" s="130"/>
      <c r="AR70" s="130"/>
      <c r="AS70" s="131"/>
    </row>
    <row r="71" spans="1:45">
      <c r="A71" s="426" t="s">
        <v>252</v>
      </c>
      <c r="B71" s="427"/>
      <c r="C71" s="427"/>
      <c r="D71" s="427"/>
      <c r="E71" s="428"/>
      <c r="F71" s="355"/>
      <c r="G71" s="355"/>
      <c r="H71" s="355"/>
      <c r="I71" s="355"/>
      <c r="J71" s="355"/>
      <c r="K71" s="355"/>
      <c r="L71" s="355"/>
      <c r="M71" s="355"/>
      <c r="N71" s="355"/>
      <c r="O71" s="355"/>
      <c r="P71" s="355"/>
      <c r="Q71" s="355"/>
      <c r="R71" s="355"/>
      <c r="S71" s="355"/>
      <c r="T71" s="355"/>
      <c r="U71" s="355"/>
      <c r="V71" s="355"/>
      <c r="W71" s="355"/>
      <c r="X71" s="355"/>
      <c r="Y71" s="355"/>
      <c r="Z71" s="355"/>
      <c r="AA71" s="355"/>
      <c r="AB71" s="355"/>
      <c r="AC71" s="355"/>
      <c r="AD71" s="355"/>
      <c r="AE71" s="355"/>
      <c r="AF71" s="355"/>
      <c r="AG71" s="355"/>
      <c r="AH71" s="355"/>
      <c r="AI71" s="355"/>
      <c r="AJ71" s="355"/>
      <c r="AK71" s="355"/>
      <c r="AL71" s="355"/>
      <c r="AM71" s="355"/>
      <c r="AN71" s="355"/>
      <c r="AO71" s="356"/>
      <c r="AP71" s="127"/>
      <c r="AQ71" s="63"/>
      <c r="AR71" s="63"/>
      <c r="AS71" s="64"/>
    </row>
    <row r="72" spans="1:45">
      <c r="A72" s="429" t="s">
        <v>253</v>
      </c>
      <c r="B72" s="430"/>
      <c r="C72" s="430"/>
      <c r="D72" s="430"/>
      <c r="E72" s="431"/>
      <c r="F72" s="63"/>
      <c r="G72" s="31" t="s">
        <v>17</v>
      </c>
      <c r="H72" s="353" t="s">
        <v>289</v>
      </c>
      <c r="I72" s="353"/>
      <c r="J72" s="353"/>
      <c r="K72" s="353"/>
      <c r="L72" s="353"/>
      <c r="M72" s="353"/>
      <c r="N72" s="353"/>
      <c r="O72" s="353"/>
      <c r="P72" s="353"/>
      <c r="Q72" s="353"/>
      <c r="R72" s="353"/>
      <c r="S72" s="353"/>
      <c r="T72" s="353"/>
      <c r="U72" s="353"/>
      <c r="V72" s="353"/>
      <c r="W72" s="353"/>
      <c r="X72" s="353"/>
      <c r="Y72" s="353"/>
      <c r="Z72" s="353"/>
      <c r="AA72" s="353"/>
      <c r="AB72" s="353"/>
      <c r="AC72" s="353"/>
      <c r="AD72" s="353"/>
      <c r="AE72" s="353"/>
      <c r="AF72" s="353"/>
      <c r="AG72" s="353"/>
      <c r="AH72" s="353"/>
      <c r="AI72" s="353"/>
      <c r="AJ72" s="353"/>
      <c r="AK72" s="353"/>
      <c r="AL72" s="6"/>
      <c r="AM72" s="139">
        <v>0</v>
      </c>
      <c r="AN72" s="139"/>
      <c r="AO72" s="49"/>
      <c r="AP72" s="127"/>
      <c r="AQ72" s="348">
        <f>AM72</f>
        <v>0</v>
      </c>
      <c r="AR72" s="349"/>
      <c r="AS72" s="64"/>
    </row>
    <row r="73" spans="1:45">
      <c r="A73" s="429"/>
      <c r="B73" s="430"/>
      <c r="C73" s="430"/>
      <c r="D73" s="430"/>
      <c r="E73" s="431"/>
      <c r="F73" s="63"/>
      <c r="G73" s="355" t="s">
        <v>273</v>
      </c>
      <c r="H73" s="355"/>
      <c r="I73" s="355"/>
      <c r="J73" s="355"/>
      <c r="K73" s="355"/>
      <c r="L73" s="355"/>
      <c r="M73" s="355"/>
      <c r="N73" s="355"/>
      <c r="O73" s="355"/>
      <c r="P73" s="355"/>
      <c r="Q73" s="355"/>
      <c r="R73" s="355"/>
      <c r="S73" s="355"/>
      <c r="T73" s="355"/>
      <c r="U73" s="355"/>
      <c r="V73" s="355"/>
      <c r="W73" s="355"/>
      <c r="X73" s="355"/>
      <c r="Y73" s="355"/>
      <c r="Z73" s="355"/>
      <c r="AA73" s="355"/>
      <c r="AB73" s="355"/>
      <c r="AC73" s="355"/>
      <c r="AD73" s="355"/>
      <c r="AE73" s="355"/>
      <c r="AF73" s="355"/>
      <c r="AG73" s="355"/>
      <c r="AH73" s="355"/>
      <c r="AI73" s="355"/>
      <c r="AJ73" s="355"/>
      <c r="AK73" s="355"/>
      <c r="AL73" s="6"/>
      <c r="AM73" s="140"/>
      <c r="AN73" s="140"/>
      <c r="AO73" s="49"/>
      <c r="AP73" s="127"/>
      <c r="AQ73" s="63"/>
      <c r="AR73" s="63"/>
      <c r="AS73" s="64"/>
    </row>
    <row r="74" spans="1:45">
      <c r="A74" s="429" t="s">
        <v>254</v>
      </c>
      <c r="B74" s="430"/>
      <c r="C74" s="430"/>
      <c r="D74" s="430"/>
      <c r="E74" s="431"/>
      <c r="F74" s="63"/>
      <c r="G74" s="31" t="s">
        <v>17</v>
      </c>
      <c r="H74" s="353" t="s">
        <v>290</v>
      </c>
      <c r="I74" s="353"/>
      <c r="J74" s="353"/>
      <c r="K74" s="353"/>
      <c r="L74" s="353"/>
      <c r="M74" s="353"/>
      <c r="N74" s="353"/>
      <c r="O74" s="353"/>
      <c r="P74" s="353"/>
      <c r="Q74" s="353"/>
      <c r="R74" s="353"/>
      <c r="S74" s="353"/>
      <c r="T74" s="353"/>
      <c r="U74" s="353"/>
      <c r="V74" s="353"/>
      <c r="W74" s="353"/>
      <c r="X74" s="353"/>
      <c r="Y74" s="353"/>
      <c r="Z74" s="353"/>
      <c r="AA74" s="353"/>
      <c r="AB74" s="353"/>
      <c r="AC74" s="353"/>
      <c r="AD74" s="353"/>
      <c r="AE74" s="353"/>
      <c r="AF74" s="353"/>
      <c r="AG74" s="353"/>
      <c r="AH74" s="353"/>
      <c r="AI74" s="353"/>
      <c r="AJ74" s="353"/>
      <c r="AK74" s="353"/>
      <c r="AL74" s="6"/>
      <c r="AM74" s="139">
        <v>0</v>
      </c>
      <c r="AN74" s="139"/>
      <c r="AO74" s="49"/>
      <c r="AP74" s="127"/>
      <c r="AQ74" s="348">
        <f>AM74</f>
        <v>0</v>
      </c>
      <c r="AR74" s="349"/>
      <c r="AS74" s="64"/>
    </row>
    <row r="75" spans="1:45">
      <c r="A75" s="432"/>
      <c r="B75" s="433"/>
      <c r="C75" s="433"/>
      <c r="D75" s="433"/>
      <c r="E75" s="434"/>
      <c r="F75" s="63"/>
      <c r="G75" s="355" t="s">
        <v>273</v>
      </c>
      <c r="H75" s="355"/>
      <c r="I75" s="355"/>
      <c r="J75" s="355"/>
      <c r="K75" s="355"/>
      <c r="L75" s="355"/>
      <c r="M75" s="355"/>
      <c r="N75" s="355"/>
      <c r="O75" s="355"/>
      <c r="P75" s="355"/>
      <c r="Q75" s="355"/>
      <c r="R75" s="355"/>
      <c r="S75" s="355"/>
      <c r="T75" s="355"/>
      <c r="U75" s="355"/>
      <c r="V75" s="355"/>
      <c r="W75" s="355"/>
      <c r="X75" s="355"/>
      <c r="Y75" s="355"/>
      <c r="Z75" s="355"/>
      <c r="AA75" s="355"/>
      <c r="AB75" s="355"/>
      <c r="AC75" s="355"/>
      <c r="AD75" s="355"/>
      <c r="AE75" s="355"/>
      <c r="AF75" s="355"/>
      <c r="AG75" s="355"/>
      <c r="AH75" s="355"/>
      <c r="AI75" s="355"/>
      <c r="AJ75" s="355"/>
      <c r="AK75" s="355"/>
      <c r="AL75" s="6"/>
      <c r="AM75" s="140"/>
      <c r="AN75" s="140"/>
      <c r="AO75" s="49"/>
      <c r="AP75" s="127"/>
      <c r="AQ75" s="63"/>
      <c r="AR75" s="63"/>
      <c r="AS75" s="64"/>
    </row>
    <row r="76" spans="1:45">
      <c r="A76" s="435" t="s">
        <v>291</v>
      </c>
      <c r="B76" s="436"/>
      <c r="C76" s="436"/>
      <c r="D76" s="436"/>
      <c r="E76" s="437"/>
      <c r="F76" s="357"/>
      <c r="G76" s="357"/>
      <c r="H76" s="357"/>
      <c r="I76" s="357"/>
      <c r="J76" s="357"/>
      <c r="K76" s="357"/>
      <c r="L76" s="357"/>
      <c r="M76" s="357"/>
      <c r="N76" s="357"/>
      <c r="O76" s="357"/>
      <c r="P76" s="357"/>
      <c r="Q76" s="357"/>
      <c r="R76" s="357"/>
      <c r="S76" s="357"/>
      <c r="T76" s="357"/>
      <c r="U76" s="357"/>
      <c r="V76" s="357"/>
      <c r="W76" s="357"/>
      <c r="X76" s="357"/>
      <c r="Y76" s="357"/>
      <c r="Z76" s="357"/>
      <c r="AA76" s="357"/>
      <c r="AB76" s="357"/>
      <c r="AC76" s="357"/>
      <c r="AD76" s="357"/>
      <c r="AE76" s="357"/>
      <c r="AF76" s="357"/>
      <c r="AG76" s="357"/>
      <c r="AH76" s="357"/>
      <c r="AI76" s="357"/>
      <c r="AJ76" s="357"/>
      <c r="AK76" s="357"/>
      <c r="AL76" s="357"/>
      <c r="AM76" s="357"/>
      <c r="AN76" s="357"/>
      <c r="AO76" s="358"/>
      <c r="AP76" s="126"/>
      <c r="AQ76" s="62"/>
      <c r="AR76" s="62"/>
      <c r="AS76" s="65"/>
    </row>
    <row r="77" spans="1:45">
      <c r="A77" s="376" t="s">
        <v>256</v>
      </c>
      <c r="B77" s="377"/>
      <c r="C77" s="377"/>
      <c r="D77" s="377"/>
      <c r="E77" s="413"/>
      <c r="F77" s="357"/>
      <c r="G77" s="357"/>
      <c r="H77" s="357"/>
      <c r="I77" s="357"/>
      <c r="J77" s="357"/>
      <c r="K77" s="357"/>
      <c r="L77" s="357"/>
      <c r="M77" s="357"/>
      <c r="N77" s="357"/>
      <c r="O77" s="357"/>
      <c r="P77" s="357"/>
      <c r="Q77" s="357"/>
      <c r="R77" s="357"/>
      <c r="S77" s="357"/>
      <c r="T77" s="357"/>
      <c r="U77" s="357"/>
      <c r="V77" s="357"/>
      <c r="W77" s="357"/>
      <c r="X77" s="357"/>
      <c r="Y77" s="357"/>
      <c r="Z77" s="357"/>
      <c r="AA77" s="357"/>
      <c r="AB77" s="357"/>
      <c r="AC77" s="357"/>
      <c r="AD77" s="357"/>
      <c r="AE77" s="357"/>
      <c r="AF77" s="357"/>
      <c r="AG77" s="357"/>
      <c r="AH77" s="357"/>
      <c r="AI77" s="357"/>
      <c r="AJ77" s="357"/>
      <c r="AK77" s="357"/>
      <c r="AL77" s="357"/>
      <c r="AM77" s="357"/>
      <c r="AN77" s="357"/>
      <c r="AO77" s="358"/>
      <c r="AP77" s="126"/>
      <c r="AQ77" s="62"/>
      <c r="AR77" s="62"/>
      <c r="AS77" s="65"/>
    </row>
    <row r="78" spans="1:45">
      <c r="A78" s="414" t="s">
        <v>87</v>
      </c>
      <c r="B78" s="415"/>
      <c r="C78" s="415"/>
      <c r="D78" s="415"/>
      <c r="E78" s="416"/>
      <c r="F78" s="62"/>
      <c r="G78" s="31" t="s">
        <v>11</v>
      </c>
      <c r="H78" s="353" t="s">
        <v>60</v>
      </c>
      <c r="I78" s="353"/>
      <c r="J78" s="8"/>
      <c r="K78" s="139">
        <v>0</v>
      </c>
      <c r="L78" s="139"/>
      <c r="M78" s="8"/>
      <c r="N78" s="31" t="s">
        <v>11</v>
      </c>
      <c r="O78" s="353" t="s">
        <v>60</v>
      </c>
      <c r="P78" s="353"/>
      <c r="Q78" s="8"/>
      <c r="R78" s="139">
        <v>0</v>
      </c>
      <c r="S78" s="139"/>
      <c r="T78" s="8"/>
      <c r="U78" s="31" t="s">
        <v>11</v>
      </c>
      <c r="V78" s="353" t="s">
        <v>60</v>
      </c>
      <c r="W78" s="353"/>
      <c r="X78" s="8"/>
      <c r="Y78" s="139">
        <v>0</v>
      </c>
      <c r="Z78" s="139"/>
      <c r="AA78" s="8"/>
      <c r="AB78" s="31" t="s">
        <v>11</v>
      </c>
      <c r="AC78" s="353" t="s">
        <v>60</v>
      </c>
      <c r="AD78" s="353"/>
      <c r="AE78" s="8"/>
      <c r="AF78" s="139">
        <v>0</v>
      </c>
      <c r="AG78" s="139"/>
      <c r="AH78" s="8"/>
      <c r="AI78" s="31" t="s">
        <v>11</v>
      </c>
      <c r="AJ78" s="353" t="s">
        <v>60</v>
      </c>
      <c r="AK78" s="353"/>
      <c r="AL78" s="8"/>
      <c r="AM78" s="139">
        <v>2</v>
      </c>
      <c r="AN78" s="139"/>
      <c r="AO78" s="50"/>
      <c r="AP78" s="126"/>
      <c r="AQ78" s="348">
        <f>K78+R78+Y78+AF78+AM78</f>
        <v>2</v>
      </c>
      <c r="AR78" s="349"/>
      <c r="AS78" s="65"/>
    </row>
    <row r="79" spans="1:45">
      <c r="A79" s="414"/>
      <c r="B79" s="415"/>
      <c r="C79" s="415"/>
      <c r="D79" s="415"/>
      <c r="E79" s="416"/>
      <c r="F79" s="62"/>
      <c r="G79" s="357" t="s">
        <v>292</v>
      </c>
      <c r="H79" s="357"/>
      <c r="I79" s="357"/>
      <c r="J79" s="8"/>
      <c r="K79" s="8"/>
      <c r="L79" s="8"/>
      <c r="M79" s="8"/>
      <c r="N79" s="359">
        <v>45664.679965277777</v>
      </c>
      <c r="O79" s="357"/>
      <c r="P79" s="357"/>
      <c r="Q79" s="8"/>
      <c r="R79" s="8"/>
      <c r="S79" s="8"/>
      <c r="T79" s="8"/>
      <c r="U79" s="359">
        <v>45695.711678240739</v>
      </c>
      <c r="V79" s="357"/>
      <c r="W79" s="357"/>
      <c r="X79" s="8"/>
      <c r="Y79" s="8"/>
      <c r="Z79" s="8"/>
      <c r="AA79" s="8"/>
      <c r="AB79" s="359">
        <v>45723.710810185185</v>
      </c>
      <c r="AC79" s="357"/>
      <c r="AD79" s="357"/>
      <c r="AE79" s="8"/>
      <c r="AF79" s="8"/>
      <c r="AG79" s="8"/>
      <c r="AH79" s="8"/>
      <c r="AI79" s="359">
        <v>45754.6871875</v>
      </c>
      <c r="AJ79" s="357"/>
      <c r="AK79" s="357"/>
      <c r="AL79" s="8"/>
      <c r="AM79" s="8"/>
      <c r="AN79" s="8"/>
      <c r="AO79" s="8"/>
      <c r="AP79" s="126"/>
      <c r="AQ79" s="62"/>
      <c r="AR79" s="62"/>
      <c r="AS79" s="65"/>
    </row>
    <row r="80" spans="1:45">
      <c r="A80" s="414" t="s">
        <v>94</v>
      </c>
      <c r="B80" s="415"/>
      <c r="C80" s="415"/>
      <c r="D80" s="415"/>
      <c r="E80" s="416"/>
      <c r="F80" s="62"/>
      <c r="G80" s="31" t="s">
        <v>11</v>
      </c>
      <c r="H80" s="353" t="s">
        <v>60</v>
      </c>
      <c r="I80" s="353"/>
      <c r="J80" s="8"/>
      <c r="K80" s="8"/>
      <c r="L80" s="8"/>
      <c r="M80" s="8"/>
      <c r="N80" s="31" t="s">
        <v>11</v>
      </c>
      <c r="O80" s="353" t="s">
        <v>60</v>
      </c>
      <c r="P80" s="353"/>
      <c r="Q80" s="8"/>
      <c r="R80" s="8"/>
      <c r="S80" s="8"/>
      <c r="T80" s="8"/>
      <c r="U80" s="31" t="s">
        <v>11</v>
      </c>
      <c r="V80" s="353" t="s">
        <v>60</v>
      </c>
      <c r="W80" s="353"/>
      <c r="X80" s="8"/>
      <c r="Y80" s="8"/>
      <c r="Z80" s="8"/>
      <c r="AA80" s="8"/>
      <c r="AB80" s="31" t="s">
        <v>11</v>
      </c>
      <c r="AC80" s="353" t="s">
        <v>60</v>
      </c>
      <c r="AD80" s="353"/>
      <c r="AE80" s="8"/>
      <c r="AF80" s="8"/>
      <c r="AG80" s="8"/>
      <c r="AH80" s="8"/>
      <c r="AI80" s="31" t="s">
        <v>11</v>
      </c>
      <c r="AJ80" s="353" t="s">
        <v>60</v>
      </c>
      <c r="AK80" s="353"/>
      <c r="AL80" s="8"/>
      <c r="AM80" s="8"/>
      <c r="AN80" s="8"/>
      <c r="AO80" s="8"/>
      <c r="AP80" s="126"/>
      <c r="AQ80" s="62"/>
      <c r="AR80" s="62"/>
      <c r="AS80" s="65"/>
    </row>
    <row r="81" spans="1:45">
      <c r="A81" s="417"/>
      <c r="B81" s="418"/>
      <c r="C81" s="418"/>
      <c r="D81" s="418"/>
      <c r="E81" s="419"/>
      <c r="F81" s="62"/>
      <c r="G81" s="357" t="s">
        <v>293</v>
      </c>
      <c r="H81" s="357"/>
      <c r="I81" s="357"/>
      <c r="J81" s="8"/>
      <c r="K81" s="8"/>
      <c r="L81" s="8"/>
      <c r="M81" s="8"/>
      <c r="N81" s="359">
        <v>45664.679988425924</v>
      </c>
      <c r="O81" s="357"/>
      <c r="P81" s="357"/>
      <c r="Q81" s="8"/>
      <c r="R81" s="8"/>
      <c r="S81" s="8"/>
      <c r="T81" s="8"/>
      <c r="U81" s="359">
        <v>45695.711701388886</v>
      </c>
      <c r="V81" s="357"/>
      <c r="W81" s="357"/>
      <c r="X81" s="8"/>
      <c r="Y81" s="8"/>
      <c r="Z81" s="8"/>
      <c r="AA81" s="8"/>
      <c r="AB81" s="359">
        <v>45723.710833333331</v>
      </c>
      <c r="AC81" s="357"/>
      <c r="AD81" s="357"/>
      <c r="AE81" s="8"/>
      <c r="AF81" s="8"/>
      <c r="AG81" s="8"/>
      <c r="AH81" s="8"/>
      <c r="AI81" s="359">
        <v>45754.687210648146</v>
      </c>
      <c r="AJ81" s="357"/>
      <c r="AK81" s="357"/>
      <c r="AL81" s="8"/>
      <c r="AM81" s="8"/>
      <c r="AN81" s="8"/>
      <c r="AO81" s="8"/>
      <c r="AP81" s="126"/>
      <c r="AQ81" s="62"/>
      <c r="AR81" s="62"/>
      <c r="AS81" s="65"/>
    </row>
    <row r="82" spans="1:45">
      <c r="A82" s="426" t="s">
        <v>259</v>
      </c>
      <c r="B82" s="427"/>
      <c r="C82" s="427"/>
      <c r="D82" s="427"/>
      <c r="E82" s="428"/>
      <c r="F82" s="63"/>
      <c r="G82" s="63"/>
      <c r="H82" s="63"/>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4"/>
      <c r="AP82" s="127"/>
      <c r="AQ82" s="63"/>
      <c r="AR82" s="63"/>
      <c r="AS82" s="64"/>
    </row>
    <row r="83" spans="1:45">
      <c r="A83" s="429" t="s">
        <v>87</v>
      </c>
      <c r="B83" s="430"/>
      <c r="C83" s="430"/>
      <c r="D83" s="430"/>
      <c r="E83" s="431"/>
      <c r="F83" s="63"/>
      <c r="G83" s="31" t="s">
        <v>11</v>
      </c>
      <c r="H83" s="348" t="s">
        <v>60</v>
      </c>
      <c r="I83" s="349"/>
      <c r="J83" s="6"/>
      <c r="K83" s="139">
        <v>0</v>
      </c>
      <c r="L83" s="139"/>
      <c r="M83" s="6"/>
      <c r="N83" s="31" t="s">
        <v>11</v>
      </c>
      <c r="O83" s="348" t="s">
        <v>60</v>
      </c>
      <c r="P83" s="349"/>
      <c r="Q83" s="6"/>
      <c r="R83" s="139">
        <v>0</v>
      </c>
      <c r="S83" s="139"/>
      <c r="T83" s="6"/>
      <c r="U83" s="31" t="s">
        <v>11</v>
      </c>
      <c r="V83" s="348" t="s">
        <v>60</v>
      </c>
      <c r="W83" s="349"/>
      <c r="X83" s="6"/>
      <c r="Y83" s="139">
        <v>0</v>
      </c>
      <c r="Z83" s="139"/>
      <c r="AA83" s="6"/>
      <c r="AB83" s="31" t="s">
        <v>11</v>
      </c>
      <c r="AC83" s="348" t="s">
        <v>60</v>
      </c>
      <c r="AD83" s="349"/>
      <c r="AE83" s="6"/>
      <c r="AF83" s="139">
        <v>0</v>
      </c>
      <c r="AG83" s="139"/>
      <c r="AH83" s="6"/>
      <c r="AI83" s="31" t="s">
        <v>11</v>
      </c>
      <c r="AJ83" s="348" t="s">
        <v>60</v>
      </c>
      <c r="AK83" s="349"/>
      <c r="AL83" s="6"/>
      <c r="AM83" s="139">
        <v>0</v>
      </c>
      <c r="AN83" s="139"/>
      <c r="AO83" s="49"/>
      <c r="AP83" s="127"/>
      <c r="AQ83" s="348">
        <f>K83+R83+Y83+AF83+AM83</f>
        <v>0</v>
      </c>
      <c r="AR83" s="349"/>
      <c r="AS83" s="64"/>
    </row>
    <row r="84" spans="1:45">
      <c r="A84" s="429"/>
      <c r="B84" s="430"/>
      <c r="C84" s="430"/>
      <c r="D84" s="430"/>
      <c r="E84" s="431"/>
      <c r="F84" s="63"/>
      <c r="G84" s="378" t="s">
        <v>294</v>
      </c>
      <c r="H84" s="378"/>
      <c r="I84" s="378"/>
      <c r="J84" s="6"/>
      <c r="K84" s="6"/>
      <c r="L84" s="6"/>
      <c r="M84" s="6"/>
      <c r="N84" s="379">
        <v>45664.680011574077</v>
      </c>
      <c r="O84" s="378"/>
      <c r="P84" s="378"/>
      <c r="Q84" s="6"/>
      <c r="R84" s="6"/>
      <c r="S84" s="6"/>
      <c r="T84" s="6"/>
      <c r="U84" s="379">
        <v>45695.711724537039</v>
      </c>
      <c r="V84" s="378"/>
      <c r="W84" s="378"/>
      <c r="X84" s="6"/>
      <c r="Y84" s="6"/>
      <c r="Z84" s="6"/>
      <c r="AA84" s="6"/>
      <c r="AB84" s="379">
        <v>45723.710856481484</v>
      </c>
      <c r="AC84" s="378"/>
      <c r="AD84" s="378"/>
      <c r="AE84" s="6"/>
      <c r="AF84" s="6"/>
      <c r="AG84" s="6"/>
      <c r="AH84" s="6"/>
      <c r="AI84" s="379">
        <v>45754.687256944446</v>
      </c>
      <c r="AJ84" s="378"/>
      <c r="AK84" s="378"/>
      <c r="AL84" s="6"/>
      <c r="AM84" s="6"/>
      <c r="AN84" s="6"/>
      <c r="AO84" s="6"/>
      <c r="AP84" s="127"/>
      <c r="AQ84" s="63"/>
      <c r="AR84" s="63"/>
      <c r="AS84" s="64"/>
    </row>
    <row r="85" spans="1:45">
      <c r="A85" s="429" t="s">
        <v>94</v>
      </c>
      <c r="B85" s="430"/>
      <c r="C85" s="430"/>
      <c r="D85" s="430"/>
      <c r="E85" s="431"/>
      <c r="F85" s="63"/>
      <c r="G85" s="31" t="s">
        <v>11</v>
      </c>
      <c r="H85" s="348" t="s">
        <v>60</v>
      </c>
      <c r="I85" s="349"/>
      <c r="J85" s="6"/>
      <c r="K85" s="6"/>
      <c r="L85" s="6"/>
      <c r="M85" s="6"/>
      <c r="N85" s="31" t="s">
        <v>11</v>
      </c>
      <c r="O85" s="348" t="s">
        <v>60</v>
      </c>
      <c r="P85" s="349"/>
      <c r="Q85" s="6"/>
      <c r="R85" s="6"/>
      <c r="S85" s="6"/>
      <c r="T85" s="6"/>
      <c r="U85" s="31" t="s">
        <v>11</v>
      </c>
      <c r="V85" s="348" t="s">
        <v>60</v>
      </c>
      <c r="W85" s="349"/>
      <c r="X85" s="6"/>
      <c r="Y85" s="6"/>
      <c r="Z85" s="6"/>
      <c r="AA85" s="6"/>
      <c r="AB85" s="31" t="s">
        <v>11</v>
      </c>
      <c r="AC85" s="348" t="s">
        <v>60</v>
      </c>
      <c r="AD85" s="349"/>
      <c r="AE85" s="6"/>
      <c r="AF85" s="6"/>
      <c r="AG85" s="6"/>
      <c r="AH85" s="6"/>
      <c r="AI85" s="31" t="s">
        <v>11</v>
      </c>
      <c r="AJ85" s="348" t="s">
        <v>60</v>
      </c>
      <c r="AK85" s="349"/>
      <c r="AL85" s="6"/>
      <c r="AM85" s="6"/>
      <c r="AN85" s="6"/>
      <c r="AO85" s="6"/>
      <c r="AP85" s="127"/>
      <c r="AQ85" s="63"/>
      <c r="AR85" s="63"/>
      <c r="AS85" s="64"/>
    </row>
    <row r="86" spans="1:45">
      <c r="A86" s="432"/>
      <c r="B86" s="433"/>
      <c r="C86" s="433"/>
      <c r="D86" s="433"/>
      <c r="E86" s="434"/>
      <c r="F86" s="63"/>
      <c r="G86" s="373" t="s">
        <v>295</v>
      </c>
      <c r="H86" s="373"/>
      <c r="I86" s="373"/>
      <c r="J86" s="6"/>
      <c r="K86" s="6"/>
      <c r="L86" s="6"/>
      <c r="M86" s="6"/>
      <c r="N86" s="412">
        <v>45664.680023148147</v>
      </c>
      <c r="O86" s="373"/>
      <c r="P86" s="373"/>
      <c r="Q86" s="6"/>
      <c r="R86" s="6"/>
      <c r="S86" s="6"/>
      <c r="T86" s="6"/>
      <c r="U86" s="412">
        <v>45695.711736111109</v>
      </c>
      <c r="V86" s="373"/>
      <c r="W86" s="373"/>
      <c r="X86" s="6"/>
      <c r="Y86" s="6"/>
      <c r="Z86" s="6"/>
      <c r="AA86" s="6"/>
      <c r="AB86" s="412">
        <v>45723.710868055554</v>
      </c>
      <c r="AC86" s="373"/>
      <c r="AD86" s="373"/>
      <c r="AE86" s="6"/>
      <c r="AF86" s="6"/>
      <c r="AG86" s="6"/>
      <c r="AH86" s="6"/>
      <c r="AI86" s="412">
        <v>45754.687280092592</v>
      </c>
      <c r="AJ86" s="373"/>
      <c r="AK86" s="373"/>
      <c r="AL86" s="6"/>
      <c r="AM86" s="6"/>
      <c r="AN86" s="6"/>
      <c r="AO86" s="6"/>
      <c r="AP86" s="127"/>
      <c r="AQ86" s="63"/>
      <c r="AR86" s="63"/>
      <c r="AS86" s="64"/>
    </row>
    <row r="87" spans="1:45">
      <c r="A87" s="435" t="s">
        <v>266</v>
      </c>
      <c r="B87" s="436"/>
      <c r="C87" s="436"/>
      <c r="D87" s="436"/>
      <c r="E87" s="436"/>
      <c r="F87" s="357"/>
      <c r="G87" s="357"/>
      <c r="H87" s="357"/>
      <c r="I87" s="357"/>
      <c r="J87" s="357"/>
      <c r="K87" s="357"/>
      <c r="L87" s="357"/>
      <c r="M87" s="357"/>
      <c r="N87" s="357"/>
      <c r="O87" s="357"/>
      <c r="P87" s="357"/>
      <c r="Q87" s="357"/>
      <c r="R87" s="357"/>
      <c r="S87" s="357"/>
      <c r="T87" s="357"/>
      <c r="U87" s="357"/>
      <c r="V87" s="357"/>
      <c r="W87" s="357"/>
      <c r="X87" s="357"/>
      <c r="Y87" s="357"/>
      <c r="Z87" s="357"/>
      <c r="AA87" s="357"/>
      <c r="AB87" s="357"/>
      <c r="AC87" s="357"/>
      <c r="AD87" s="357"/>
      <c r="AE87" s="357"/>
      <c r="AF87" s="357"/>
      <c r="AG87" s="357"/>
      <c r="AH87" s="357"/>
      <c r="AI87" s="357"/>
      <c r="AJ87" s="357"/>
      <c r="AK87" s="357"/>
      <c r="AL87" s="357"/>
      <c r="AM87" s="357"/>
      <c r="AN87" s="357"/>
      <c r="AO87" s="358"/>
      <c r="AP87" s="126"/>
      <c r="AQ87" s="62"/>
      <c r="AR87" s="62"/>
      <c r="AS87" s="65"/>
    </row>
    <row r="88" spans="1:45">
      <c r="A88" s="414" t="s">
        <v>87</v>
      </c>
      <c r="B88" s="415"/>
      <c r="C88" s="415"/>
      <c r="D88" s="415"/>
      <c r="E88" s="416"/>
      <c r="F88" s="62"/>
      <c r="G88" s="31" t="s">
        <v>17</v>
      </c>
      <c r="H88" s="353" t="s">
        <v>296</v>
      </c>
      <c r="I88" s="353"/>
      <c r="J88" s="8"/>
      <c r="K88" s="139">
        <v>0</v>
      </c>
      <c r="L88" s="139"/>
      <c r="M88" s="8"/>
      <c r="N88" s="31" t="s">
        <v>17</v>
      </c>
      <c r="O88" s="353" t="s">
        <v>297</v>
      </c>
      <c r="P88" s="353"/>
      <c r="Q88" s="8"/>
      <c r="R88" s="139">
        <v>0</v>
      </c>
      <c r="S88" s="139"/>
      <c r="T88" s="8"/>
      <c r="U88" s="31" t="s">
        <v>17</v>
      </c>
      <c r="V88" s="353" t="s">
        <v>298</v>
      </c>
      <c r="W88" s="353"/>
      <c r="X88" s="8"/>
      <c r="Y88" s="139">
        <v>0</v>
      </c>
      <c r="Z88" s="139"/>
      <c r="AA88" s="8"/>
      <c r="AB88" s="31" t="s">
        <v>17</v>
      </c>
      <c r="AC88" s="353" t="s">
        <v>299</v>
      </c>
      <c r="AD88" s="353"/>
      <c r="AE88" s="8"/>
      <c r="AF88" s="139">
        <v>0</v>
      </c>
      <c r="AG88" s="139"/>
      <c r="AH88" s="8"/>
      <c r="AI88" s="31" t="s">
        <v>17</v>
      </c>
      <c r="AJ88" s="353" t="s">
        <v>300</v>
      </c>
      <c r="AK88" s="353"/>
      <c r="AL88" s="8"/>
      <c r="AM88" s="139">
        <v>0</v>
      </c>
      <c r="AN88" s="139"/>
      <c r="AO88" s="50"/>
      <c r="AP88" s="126"/>
      <c r="AQ88" s="348">
        <f>K88+R88+Y88+AF88+AM88</f>
        <v>0</v>
      </c>
      <c r="AR88" s="349"/>
      <c r="AS88" s="65"/>
    </row>
    <row r="89" spans="1:45">
      <c r="A89" s="414"/>
      <c r="B89" s="415"/>
      <c r="C89" s="415"/>
      <c r="D89" s="415"/>
      <c r="E89" s="416"/>
      <c r="F89" s="62"/>
      <c r="G89" s="357" t="s">
        <v>273</v>
      </c>
      <c r="H89" s="357"/>
      <c r="I89" s="357"/>
      <c r="J89" s="8"/>
      <c r="K89" s="8"/>
      <c r="L89" s="8"/>
      <c r="M89" s="8"/>
      <c r="N89" s="359" t="s">
        <v>273</v>
      </c>
      <c r="O89" s="357"/>
      <c r="P89" s="357"/>
      <c r="Q89" s="8"/>
      <c r="R89" s="8"/>
      <c r="S89" s="8"/>
      <c r="T89" s="8"/>
      <c r="U89" s="357" t="s">
        <v>273</v>
      </c>
      <c r="V89" s="357"/>
      <c r="W89" s="357"/>
      <c r="X89" s="8"/>
      <c r="Y89" s="8"/>
      <c r="Z89" s="8"/>
      <c r="AA89" s="8"/>
      <c r="AB89" s="357" t="s">
        <v>273</v>
      </c>
      <c r="AC89" s="357"/>
      <c r="AD89" s="357"/>
      <c r="AE89" s="8"/>
      <c r="AF89" s="8"/>
      <c r="AG89" s="8"/>
      <c r="AH89" s="8"/>
      <c r="AI89" s="357" t="s">
        <v>273</v>
      </c>
      <c r="AJ89" s="357"/>
      <c r="AK89" s="357"/>
      <c r="AL89" s="8"/>
      <c r="AM89" s="8"/>
      <c r="AN89" s="8"/>
      <c r="AO89" s="8"/>
      <c r="AP89" s="126"/>
      <c r="AQ89" s="62"/>
      <c r="AR89" s="62"/>
      <c r="AS89" s="65"/>
    </row>
    <row r="90" spans="1:45">
      <c r="A90" s="414" t="s">
        <v>94</v>
      </c>
      <c r="B90" s="415"/>
      <c r="C90" s="415"/>
      <c r="D90" s="415"/>
      <c r="E90" s="416"/>
      <c r="F90" s="62"/>
      <c r="G90" s="31" t="s">
        <v>17</v>
      </c>
      <c r="H90" s="353" t="s">
        <v>301</v>
      </c>
      <c r="I90" s="353"/>
      <c r="J90" s="8"/>
      <c r="K90" s="8"/>
      <c r="L90" s="8"/>
      <c r="M90" s="8"/>
      <c r="N90" s="31" t="s">
        <v>17</v>
      </c>
      <c r="O90" s="353" t="s">
        <v>302</v>
      </c>
      <c r="P90" s="353"/>
      <c r="Q90" s="8"/>
      <c r="R90" s="8"/>
      <c r="S90" s="8"/>
      <c r="T90" s="8"/>
      <c r="U90" s="31" t="s">
        <v>17</v>
      </c>
      <c r="V90" s="353" t="s">
        <v>303</v>
      </c>
      <c r="W90" s="353"/>
      <c r="X90" s="8"/>
      <c r="Y90" s="8"/>
      <c r="Z90" s="8"/>
      <c r="AA90" s="8"/>
      <c r="AB90" s="31" t="s">
        <v>17</v>
      </c>
      <c r="AC90" s="353" t="s">
        <v>304</v>
      </c>
      <c r="AD90" s="353"/>
      <c r="AE90" s="8"/>
      <c r="AF90" s="8"/>
      <c r="AG90" s="8"/>
      <c r="AH90" s="8"/>
      <c r="AI90" s="31" t="s">
        <v>17</v>
      </c>
      <c r="AJ90" s="353" t="s">
        <v>305</v>
      </c>
      <c r="AK90" s="353"/>
      <c r="AL90" s="8"/>
      <c r="AM90" s="8"/>
      <c r="AN90" s="8"/>
      <c r="AO90" s="8"/>
      <c r="AP90" s="126"/>
      <c r="AQ90" s="62"/>
      <c r="AR90" s="62"/>
      <c r="AS90" s="65"/>
    </row>
    <row r="91" spans="1:45">
      <c r="A91" s="417"/>
      <c r="B91" s="418"/>
      <c r="C91" s="418"/>
      <c r="D91" s="418"/>
      <c r="E91" s="419"/>
      <c r="F91" s="62"/>
      <c r="G91" s="357" t="s">
        <v>273</v>
      </c>
      <c r="H91" s="357"/>
      <c r="I91" s="357"/>
      <c r="J91" s="8"/>
      <c r="K91" s="8"/>
      <c r="L91" s="8"/>
      <c r="M91" s="8"/>
      <c r="N91" s="359" t="s">
        <v>273</v>
      </c>
      <c r="O91" s="357"/>
      <c r="P91" s="357"/>
      <c r="Q91" s="8"/>
      <c r="R91" s="8"/>
      <c r="S91" s="8"/>
      <c r="T91" s="8"/>
      <c r="U91" s="357" t="s">
        <v>306</v>
      </c>
      <c r="V91" s="357"/>
      <c r="W91" s="357"/>
      <c r="X91" s="8"/>
      <c r="Y91" s="8"/>
      <c r="Z91" s="8"/>
      <c r="AA91" s="8"/>
      <c r="AB91" s="357" t="s">
        <v>273</v>
      </c>
      <c r="AC91" s="357"/>
      <c r="AD91" s="357"/>
      <c r="AE91" s="8"/>
      <c r="AF91" s="8"/>
      <c r="AG91" s="8"/>
      <c r="AH91" s="8"/>
      <c r="AI91" s="357" t="s">
        <v>273</v>
      </c>
      <c r="AJ91" s="357"/>
      <c r="AK91" s="357"/>
      <c r="AL91" s="8"/>
      <c r="AM91" s="8"/>
      <c r="AN91" s="8"/>
      <c r="AO91" s="8"/>
      <c r="AP91" s="126"/>
      <c r="AQ91" s="62"/>
      <c r="AR91" s="62"/>
      <c r="AS91" s="65"/>
    </row>
    <row r="92" spans="1:45">
      <c r="A92" s="383"/>
      <c r="B92" s="384"/>
      <c r="C92" s="384"/>
      <c r="D92" s="384"/>
      <c r="E92" s="384"/>
      <c r="F92" s="384"/>
      <c r="G92" s="384"/>
      <c r="H92" s="384"/>
      <c r="I92" s="384"/>
      <c r="J92" s="384"/>
      <c r="K92" s="384"/>
      <c r="L92" s="384"/>
      <c r="M92" s="384"/>
      <c r="N92" s="384"/>
      <c r="O92" s="384"/>
      <c r="P92" s="384"/>
      <c r="Q92" s="384"/>
      <c r="R92" s="384"/>
      <c r="S92" s="384"/>
      <c r="T92" s="384"/>
      <c r="U92" s="384"/>
      <c r="V92" s="384"/>
      <c r="W92" s="384"/>
      <c r="X92" s="384"/>
      <c r="Y92" s="384"/>
      <c r="Z92" s="384"/>
      <c r="AA92" s="384"/>
      <c r="AB92" s="384"/>
      <c r="AC92" s="384"/>
      <c r="AD92" s="384"/>
      <c r="AE92" s="384"/>
      <c r="AF92" s="384"/>
      <c r="AG92" s="384"/>
      <c r="AH92" s="384"/>
      <c r="AI92" s="384"/>
      <c r="AJ92" s="384"/>
      <c r="AK92" s="384"/>
      <c r="AL92" s="384"/>
      <c r="AM92" s="384"/>
      <c r="AN92" s="384"/>
      <c r="AO92" s="385"/>
      <c r="AP92" s="128"/>
      <c r="AQ92" s="68"/>
      <c r="AR92" s="68"/>
      <c r="AS92" s="69"/>
    </row>
    <row r="93" spans="1:45">
      <c r="A93" s="420" t="s">
        <v>307</v>
      </c>
      <c r="B93" s="421"/>
      <c r="C93" s="421"/>
      <c r="D93" s="421"/>
      <c r="E93" s="421"/>
      <c r="F93" s="351"/>
      <c r="G93" s="351"/>
      <c r="H93" s="351"/>
      <c r="I93" s="351"/>
      <c r="J93" s="351"/>
      <c r="K93" s="351"/>
      <c r="L93" s="351"/>
      <c r="M93" s="351"/>
      <c r="N93" s="351"/>
      <c r="O93" s="351"/>
      <c r="P93" s="351"/>
      <c r="Q93" s="351"/>
      <c r="R93" s="351"/>
      <c r="S93" s="351"/>
      <c r="T93" s="351"/>
      <c r="U93" s="351"/>
      <c r="V93" s="351"/>
      <c r="W93" s="351"/>
      <c r="X93" s="351"/>
      <c r="Y93" s="351"/>
      <c r="Z93" s="351"/>
      <c r="AA93" s="351"/>
      <c r="AB93" s="351"/>
      <c r="AC93" s="351"/>
      <c r="AD93" s="351"/>
      <c r="AE93" s="351"/>
      <c r="AF93" s="351"/>
      <c r="AG93" s="351"/>
      <c r="AH93" s="351"/>
      <c r="AI93" s="351"/>
      <c r="AJ93" s="351"/>
      <c r="AK93" s="351"/>
      <c r="AL93" s="351"/>
      <c r="AM93" s="351"/>
      <c r="AN93" s="351"/>
      <c r="AO93" s="352"/>
      <c r="AP93" s="129"/>
      <c r="AQ93" s="130"/>
      <c r="AR93" s="130"/>
      <c r="AS93" s="131"/>
    </row>
    <row r="94" spans="1:45">
      <c r="A94" s="422" t="s">
        <v>308</v>
      </c>
      <c r="B94" s="423"/>
      <c r="C94" s="423"/>
      <c r="D94" s="423"/>
      <c r="E94" s="423"/>
      <c r="F94" s="351"/>
      <c r="G94" s="351"/>
      <c r="H94" s="351"/>
      <c r="I94" s="351"/>
      <c r="J94" s="351"/>
      <c r="K94" s="351"/>
      <c r="L94" s="351"/>
      <c r="M94" s="351"/>
      <c r="N94" s="351"/>
      <c r="O94" s="351"/>
      <c r="P94" s="351"/>
      <c r="Q94" s="351"/>
      <c r="R94" s="351"/>
      <c r="S94" s="351"/>
      <c r="T94" s="351"/>
      <c r="U94" s="351"/>
      <c r="V94" s="351"/>
      <c r="W94" s="351"/>
      <c r="X94" s="351"/>
      <c r="Y94" s="351"/>
      <c r="Z94" s="351"/>
      <c r="AA94" s="351"/>
      <c r="AB94" s="351"/>
      <c r="AC94" s="351"/>
      <c r="AD94" s="351"/>
      <c r="AE94" s="351"/>
      <c r="AF94" s="351"/>
      <c r="AG94" s="351"/>
      <c r="AH94" s="351"/>
      <c r="AI94" s="351"/>
      <c r="AJ94" s="351"/>
      <c r="AK94" s="351"/>
      <c r="AL94" s="351"/>
      <c r="AM94" s="351"/>
      <c r="AN94" s="351"/>
      <c r="AO94" s="352"/>
      <c r="AP94" s="129"/>
      <c r="AQ94" s="130"/>
      <c r="AR94" s="130"/>
      <c r="AS94" s="131"/>
    </row>
    <row r="95" spans="1:45">
      <c r="A95" s="424"/>
      <c r="B95" s="425"/>
      <c r="C95" s="425"/>
      <c r="D95" s="425"/>
      <c r="E95" s="425"/>
      <c r="F95" s="351"/>
      <c r="G95" s="351"/>
      <c r="H95" s="351"/>
      <c r="I95" s="351"/>
      <c r="J95" s="351"/>
      <c r="K95" s="351"/>
      <c r="L95" s="351"/>
      <c r="M95" s="351"/>
      <c r="N95" s="351"/>
      <c r="O95" s="351"/>
      <c r="P95" s="351"/>
      <c r="Q95" s="351"/>
      <c r="R95" s="351"/>
      <c r="S95" s="351"/>
      <c r="T95" s="351"/>
      <c r="U95" s="351"/>
      <c r="V95" s="351"/>
      <c r="W95" s="351"/>
      <c r="X95" s="351"/>
      <c r="Y95" s="351"/>
      <c r="Z95" s="351"/>
      <c r="AA95" s="351"/>
      <c r="AB95" s="351"/>
      <c r="AC95" s="351"/>
      <c r="AD95" s="351"/>
      <c r="AE95" s="351"/>
      <c r="AF95" s="351"/>
      <c r="AG95" s="351"/>
      <c r="AH95" s="351"/>
      <c r="AI95" s="351"/>
      <c r="AJ95" s="351"/>
      <c r="AK95" s="351"/>
      <c r="AL95" s="351"/>
      <c r="AM95" s="351"/>
      <c r="AN95" s="351"/>
      <c r="AO95" s="352"/>
      <c r="AP95" s="129"/>
      <c r="AQ95" s="130"/>
      <c r="AR95" s="130"/>
      <c r="AS95" s="131"/>
    </row>
    <row r="96" spans="1:45">
      <c r="A96" s="426" t="s">
        <v>252</v>
      </c>
      <c r="B96" s="427"/>
      <c r="C96" s="427"/>
      <c r="D96" s="427"/>
      <c r="E96" s="428"/>
      <c r="F96" s="355"/>
      <c r="G96" s="355"/>
      <c r="H96" s="355"/>
      <c r="I96" s="355"/>
      <c r="J96" s="355"/>
      <c r="K96" s="355"/>
      <c r="L96" s="355"/>
      <c r="M96" s="355"/>
      <c r="N96" s="355"/>
      <c r="O96" s="355"/>
      <c r="P96" s="355"/>
      <c r="Q96" s="355"/>
      <c r="R96" s="355"/>
      <c r="S96" s="355"/>
      <c r="T96" s="355"/>
      <c r="U96" s="355"/>
      <c r="V96" s="355"/>
      <c r="W96" s="355"/>
      <c r="X96" s="355"/>
      <c r="Y96" s="355"/>
      <c r="Z96" s="355"/>
      <c r="AA96" s="355"/>
      <c r="AB96" s="355"/>
      <c r="AC96" s="355"/>
      <c r="AD96" s="355"/>
      <c r="AE96" s="355"/>
      <c r="AF96" s="355"/>
      <c r="AG96" s="355"/>
      <c r="AH96" s="355"/>
      <c r="AI96" s="355"/>
      <c r="AJ96" s="355"/>
      <c r="AK96" s="355"/>
      <c r="AL96" s="355"/>
      <c r="AM96" s="355"/>
      <c r="AN96" s="355"/>
      <c r="AO96" s="356"/>
      <c r="AP96" s="127"/>
      <c r="AQ96" s="63"/>
      <c r="AR96" s="63"/>
      <c r="AS96" s="64"/>
    </row>
    <row r="97" spans="1:45">
      <c r="A97" s="429" t="s">
        <v>253</v>
      </c>
      <c r="B97" s="430"/>
      <c r="C97" s="430"/>
      <c r="D97" s="430"/>
      <c r="E97" s="431"/>
      <c r="F97" s="63"/>
      <c r="G97" s="31" t="s">
        <v>17</v>
      </c>
      <c r="H97" s="353" t="s">
        <v>309</v>
      </c>
      <c r="I97" s="353"/>
      <c r="J97" s="353"/>
      <c r="K97" s="353"/>
      <c r="L97" s="353"/>
      <c r="M97" s="353"/>
      <c r="N97" s="353"/>
      <c r="O97" s="353"/>
      <c r="P97" s="353"/>
      <c r="Q97" s="353"/>
      <c r="R97" s="353"/>
      <c r="S97" s="353"/>
      <c r="T97" s="353"/>
      <c r="U97" s="353"/>
      <c r="V97" s="353"/>
      <c r="W97" s="353"/>
      <c r="X97" s="353"/>
      <c r="Y97" s="353"/>
      <c r="Z97" s="353"/>
      <c r="AA97" s="353"/>
      <c r="AB97" s="353"/>
      <c r="AC97" s="353"/>
      <c r="AD97" s="353"/>
      <c r="AE97" s="353"/>
      <c r="AF97" s="353"/>
      <c r="AG97" s="353"/>
      <c r="AH97" s="353"/>
      <c r="AI97" s="353"/>
      <c r="AJ97" s="353"/>
      <c r="AK97" s="353"/>
      <c r="AL97" s="6"/>
      <c r="AM97" s="139">
        <v>0</v>
      </c>
      <c r="AN97" s="139"/>
      <c r="AO97" s="49"/>
      <c r="AP97" s="127"/>
      <c r="AQ97" s="348">
        <f>AM97</f>
        <v>0</v>
      </c>
      <c r="AR97" s="349"/>
      <c r="AS97" s="64"/>
    </row>
    <row r="98" spans="1:45">
      <c r="A98" s="429"/>
      <c r="B98" s="430"/>
      <c r="C98" s="430"/>
      <c r="D98" s="430"/>
      <c r="E98" s="431"/>
      <c r="F98" s="63"/>
      <c r="G98" s="355" t="s">
        <v>273</v>
      </c>
      <c r="H98" s="355"/>
      <c r="I98" s="355"/>
      <c r="J98" s="355"/>
      <c r="K98" s="355"/>
      <c r="L98" s="355"/>
      <c r="M98" s="355"/>
      <c r="N98" s="355"/>
      <c r="O98" s="355"/>
      <c r="P98" s="355"/>
      <c r="Q98" s="355"/>
      <c r="R98" s="355"/>
      <c r="S98" s="355"/>
      <c r="T98" s="355"/>
      <c r="U98" s="355"/>
      <c r="V98" s="355"/>
      <c r="W98" s="355"/>
      <c r="X98" s="355"/>
      <c r="Y98" s="355"/>
      <c r="Z98" s="355"/>
      <c r="AA98" s="355"/>
      <c r="AB98" s="355"/>
      <c r="AC98" s="355"/>
      <c r="AD98" s="355"/>
      <c r="AE98" s="355"/>
      <c r="AF98" s="355"/>
      <c r="AG98" s="355"/>
      <c r="AH98" s="355"/>
      <c r="AI98" s="355"/>
      <c r="AJ98" s="355"/>
      <c r="AK98" s="355"/>
      <c r="AL98" s="6"/>
      <c r="AM98" s="140"/>
      <c r="AN98" s="140"/>
      <c r="AO98" s="49"/>
      <c r="AP98" s="127"/>
      <c r="AQ98" s="63"/>
      <c r="AR98" s="63"/>
      <c r="AS98" s="64"/>
    </row>
    <row r="99" spans="1:45">
      <c r="A99" s="429" t="s">
        <v>254</v>
      </c>
      <c r="B99" s="430"/>
      <c r="C99" s="430"/>
      <c r="D99" s="430"/>
      <c r="E99" s="431"/>
      <c r="F99" s="63"/>
      <c r="G99" s="31" t="s">
        <v>17</v>
      </c>
      <c r="H99" s="353" t="s">
        <v>310</v>
      </c>
      <c r="I99" s="353"/>
      <c r="J99" s="353"/>
      <c r="K99" s="353"/>
      <c r="L99" s="353"/>
      <c r="M99" s="353"/>
      <c r="N99" s="353"/>
      <c r="O99" s="353"/>
      <c r="P99" s="353"/>
      <c r="Q99" s="353"/>
      <c r="R99" s="353"/>
      <c r="S99" s="353"/>
      <c r="T99" s="353"/>
      <c r="U99" s="353"/>
      <c r="V99" s="353"/>
      <c r="W99" s="353"/>
      <c r="X99" s="353"/>
      <c r="Y99" s="353"/>
      <c r="Z99" s="353"/>
      <c r="AA99" s="353"/>
      <c r="AB99" s="353"/>
      <c r="AC99" s="353"/>
      <c r="AD99" s="353"/>
      <c r="AE99" s="353"/>
      <c r="AF99" s="353"/>
      <c r="AG99" s="353"/>
      <c r="AH99" s="353"/>
      <c r="AI99" s="353"/>
      <c r="AJ99" s="353"/>
      <c r="AK99" s="353"/>
      <c r="AL99" s="6"/>
      <c r="AM99" s="139">
        <v>0</v>
      </c>
      <c r="AN99" s="139"/>
      <c r="AO99" s="49"/>
      <c r="AP99" s="127"/>
      <c r="AQ99" s="348">
        <f>AM99</f>
        <v>0</v>
      </c>
      <c r="AR99" s="349"/>
      <c r="AS99" s="64"/>
    </row>
    <row r="100" spans="1:45">
      <c r="A100" s="432"/>
      <c r="B100" s="433"/>
      <c r="C100" s="433"/>
      <c r="D100" s="433"/>
      <c r="E100" s="434"/>
      <c r="F100" s="63"/>
      <c r="G100" s="355" t="s">
        <v>273</v>
      </c>
      <c r="H100" s="355"/>
      <c r="I100" s="355"/>
      <c r="J100" s="355"/>
      <c r="K100" s="355"/>
      <c r="L100" s="355"/>
      <c r="M100" s="355"/>
      <c r="N100" s="355"/>
      <c r="O100" s="355"/>
      <c r="P100" s="355"/>
      <c r="Q100" s="355"/>
      <c r="R100" s="355"/>
      <c r="S100" s="355"/>
      <c r="T100" s="355"/>
      <c r="U100" s="355"/>
      <c r="V100" s="355"/>
      <c r="W100" s="355"/>
      <c r="X100" s="355"/>
      <c r="Y100" s="355"/>
      <c r="Z100" s="355"/>
      <c r="AA100" s="355"/>
      <c r="AB100" s="355"/>
      <c r="AC100" s="355"/>
      <c r="AD100" s="355"/>
      <c r="AE100" s="355"/>
      <c r="AF100" s="355"/>
      <c r="AG100" s="355"/>
      <c r="AH100" s="355"/>
      <c r="AI100" s="355"/>
      <c r="AJ100" s="355"/>
      <c r="AK100" s="355"/>
      <c r="AL100" s="6"/>
      <c r="AM100" s="140"/>
      <c r="AN100" s="140"/>
      <c r="AO100" s="49"/>
      <c r="AP100" s="127"/>
      <c r="AQ100" s="63"/>
      <c r="AR100" s="63"/>
      <c r="AS100" s="64"/>
    </row>
    <row r="101" spans="1:45">
      <c r="A101" s="435" t="s">
        <v>311</v>
      </c>
      <c r="B101" s="436"/>
      <c r="C101" s="436"/>
      <c r="D101" s="436"/>
      <c r="E101" s="437"/>
      <c r="F101" s="357"/>
      <c r="G101" s="357"/>
      <c r="H101" s="357"/>
      <c r="I101" s="357"/>
      <c r="J101" s="357"/>
      <c r="K101" s="357"/>
      <c r="L101" s="357"/>
      <c r="M101" s="357"/>
      <c r="N101" s="357"/>
      <c r="O101" s="357"/>
      <c r="P101" s="357"/>
      <c r="Q101" s="357"/>
      <c r="R101" s="357"/>
      <c r="S101" s="357"/>
      <c r="T101" s="357"/>
      <c r="U101" s="357"/>
      <c r="V101" s="357"/>
      <c r="W101" s="357"/>
      <c r="X101" s="357"/>
      <c r="Y101" s="357"/>
      <c r="Z101" s="357"/>
      <c r="AA101" s="357"/>
      <c r="AB101" s="357"/>
      <c r="AC101" s="357"/>
      <c r="AD101" s="357"/>
      <c r="AE101" s="357"/>
      <c r="AF101" s="357"/>
      <c r="AG101" s="357"/>
      <c r="AH101" s="357"/>
      <c r="AI101" s="357"/>
      <c r="AJ101" s="357"/>
      <c r="AK101" s="357"/>
      <c r="AL101" s="357"/>
      <c r="AM101" s="357"/>
      <c r="AN101" s="357"/>
      <c r="AO101" s="358"/>
      <c r="AP101" s="126"/>
      <c r="AQ101" s="62"/>
      <c r="AR101" s="62"/>
      <c r="AS101" s="65"/>
    </row>
    <row r="102" spans="1:45">
      <c r="A102" s="376" t="s">
        <v>256</v>
      </c>
      <c r="B102" s="377"/>
      <c r="C102" s="377"/>
      <c r="D102" s="377"/>
      <c r="E102" s="413"/>
      <c r="F102" s="357"/>
      <c r="G102" s="357"/>
      <c r="H102" s="357"/>
      <c r="I102" s="357"/>
      <c r="J102" s="357"/>
      <c r="K102" s="357"/>
      <c r="L102" s="357"/>
      <c r="M102" s="357"/>
      <c r="N102" s="357"/>
      <c r="O102" s="357"/>
      <c r="P102" s="357"/>
      <c r="Q102" s="357"/>
      <c r="R102" s="357"/>
      <c r="S102" s="357"/>
      <c r="T102" s="357"/>
      <c r="U102" s="357"/>
      <c r="V102" s="357"/>
      <c r="W102" s="357"/>
      <c r="X102" s="357"/>
      <c r="Y102" s="357"/>
      <c r="Z102" s="357"/>
      <c r="AA102" s="357"/>
      <c r="AB102" s="357"/>
      <c r="AC102" s="357"/>
      <c r="AD102" s="357"/>
      <c r="AE102" s="357"/>
      <c r="AF102" s="357"/>
      <c r="AG102" s="357"/>
      <c r="AH102" s="357"/>
      <c r="AI102" s="357"/>
      <c r="AJ102" s="357"/>
      <c r="AK102" s="357"/>
      <c r="AL102" s="357"/>
      <c r="AM102" s="357"/>
      <c r="AN102" s="357"/>
      <c r="AO102" s="358"/>
      <c r="AP102" s="126"/>
      <c r="AQ102" s="62"/>
      <c r="AR102" s="62"/>
      <c r="AS102" s="65"/>
    </row>
    <row r="103" spans="1:45">
      <c r="A103" s="414" t="s">
        <v>87</v>
      </c>
      <c r="B103" s="415"/>
      <c r="C103" s="415"/>
      <c r="D103" s="415"/>
      <c r="E103" s="416"/>
      <c r="F103" s="62"/>
      <c r="G103" s="31" t="s">
        <v>17</v>
      </c>
      <c r="H103" s="353" t="s">
        <v>312</v>
      </c>
      <c r="I103" s="353"/>
      <c r="J103" s="8"/>
      <c r="K103" s="139">
        <v>0</v>
      </c>
      <c r="L103" s="139"/>
      <c r="M103" s="8"/>
      <c r="N103" s="31" t="s">
        <v>17</v>
      </c>
      <c r="O103" s="353" t="s">
        <v>313</v>
      </c>
      <c r="P103" s="353"/>
      <c r="Q103" s="8"/>
      <c r="R103" s="139">
        <v>0</v>
      </c>
      <c r="S103" s="139"/>
      <c r="T103" s="8"/>
      <c r="U103" s="31" t="s">
        <v>17</v>
      </c>
      <c r="V103" s="353" t="s">
        <v>314</v>
      </c>
      <c r="W103" s="353"/>
      <c r="X103" s="8"/>
      <c r="Y103" s="139">
        <v>0</v>
      </c>
      <c r="Z103" s="139"/>
      <c r="AA103" s="8"/>
      <c r="AB103" s="31" t="s">
        <v>17</v>
      </c>
      <c r="AC103" s="353" t="s">
        <v>315</v>
      </c>
      <c r="AD103" s="353"/>
      <c r="AE103" s="8"/>
      <c r="AF103" s="139">
        <v>0</v>
      </c>
      <c r="AG103" s="139"/>
      <c r="AH103" s="8"/>
      <c r="AI103" s="31" t="s">
        <v>17</v>
      </c>
      <c r="AJ103" s="353" t="s">
        <v>316</v>
      </c>
      <c r="AK103" s="353"/>
      <c r="AL103" s="8"/>
      <c r="AM103" s="139">
        <v>0</v>
      </c>
      <c r="AN103" s="139"/>
      <c r="AO103" s="50"/>
      <c r="AP103" s="126"/>
      <c r="AQ103" s="348">
        <f>K103+R103+Y103+AF103+AM103</f>
        <v>0</v>
      </c>
      <c r="AR103" s="349"/>
      <c r="AS103" s="65"/>
    </row>
    <row r="104" spans="1:45">
      <c r="A104" s="414"/>
      <c r="B104" s="415"/>
      <c r="C104" s="415"/>
      <c r="D104" s="415"/>
      <c r="E104" s="416"/>
      <c r="F104" s="62"/>
      <c r="G104" s="357" t="s">
        <v>273</v>
      </c>
      <c r="H104" s="357"/>
      <c r="I104" s="357"/>
      <c r="J104" s="8"/>
      <c r="K104" s="8"/>
      <c r="L104" s="8"/>
      <c r="M104" s="8"/>
      <c r="N104" s="357" t="s">
        <v>273</v>
      </c>
      <c r="O104" s="357"/>
      <c r="P104" s="357"/>
      <c r="Q104" s="8"/>
      <c r="R104" s="8"/>
      <c r="S104" s="8"/>
      <c r="T104" s="8"/>
      <c r="U104" s="357" t="s">
        <v>273</v>
      </c>
      <c r="V104" s="357"/>
      <c r="W104" s="357"/>
      <c r="X104" s="8"/>
      <c r="Y104" s="8"/>
      <c r="Z104" s="8"/>
      <c r="AA104" s="8"/>
      <c r="AB104" s="357" t="s">
        <v>273</v>
      </c>
      <c r="AC104" s="357"/>
      <c r="AD104" s="357"/>
      <c r="AE104" s="8"/>
      <c r="AF104" s="8"/>
      <c r="AG104" s="8"/>
      <c r="AH104" s="8"/>
      <c r="AI104" s="357" t="s">
        <v>273</v>
      </c>
      <c r="AJ104" s="357"/>
      <c r="AK104" s="357"/>
      <c r="AL104" s="8"/>
      <c r="AM104" s="8"/>
      <c r="AN104" s="8"/>
      <c r="AO104" s="8"/>
      <c r="AP104" s="126"/>
      <c r="AQ104" s="62"/>
      <c r="AR104" s="62"/>
      <c r="AS104" s="65"/>
    </row>
    <row r="105" spans="1:45">
      <c r="A105" s="414" t="s">
        <v>94</v>
      </c>
      <c r="B105" s="415"/>
      <c r="C105" s="415"/>
      <c r="D105" s="415"/>
      <c r="E105" s="416"/>
      <c r="F105" s="62"/>
      <c r="G105" s="31" t="s">
        <v>17</v>
      </c>
      <c r="H105" s="353" t="s">
        <v>317</v>
      </c>
      <c r="I105" s="353"/>
      <c r="J105" s="8"/>
      <c r="K105" s="8"/>
      <c r="L105" s="8"/>
      <c r="M105" s="8"/>
      <c r="N105" s="31" t="s">
        <v>17</v>
      </c>
      <c r="O105" s="353" t="s">
        <v>318</v>
      </c>
      <c r="P105" s="353"/>
      <c r="Q105" s="8"/>
      <c r="R105" s="8"/>
      <c r="S105" s="8"/>
      <c r="T105" s="8"/>
      <c r="U105" s="31" t="s">
        <v>17</v>
      </c>
      <c r="V105" s="353" t="s">
        <v>319</v>
      </c>
      <c r="W105" s="353"/>
      <c r="X105" s="8"/>
      <c r="Y105" s="8"/>
      <c r="Z105" s="8"/>
      <c r="AA105" s="8"/>
      <c r="AB105" s="31" t="s">
        <v>17</v>
      </c>
      <c r="AC105" s="353" t="s">
        <v>320</v>
      </c>
      <c r="AD105" s="353"/>
      <c r="AE105" s="8"/>
      <c r="AF105" s="8"/>
      <c r="AG105" s="8"/>
      <c r="AH105" s="8"/>
      <c r="AI105" s="31" t="s">
        <v>17</v>
      </c>
      <c r="AJ105" s="353" t="s">
        <v>321</v>
      </c>
      <c r="AK105" s="353"/>
      <c r="AL105" s="8"/>
      <c r="AM105" s="8"/>
      <c r="AN105" s="8"/>
      <c r="AO105" s="8"/>
      <c r="AP105" s="126"/>
      <c r="AQ105" s="8"/>
      <c r="AR105" s="8"/>
      <c r="AS105" s="65"/>
    </row>
    <row r="106" spans="1:45">
      <c r="A106" s="417"/>
      <c r="B106" s="418"/>
      <c r="C106" s="418"/>
      <c r="D106" s="418"/>
      <c r="E106" s="419"/>
      <c r="F106" s="62"/>
      <c r="G106" s="357" t="s">
        <v>273</v>
      </c>
      <c r="H106" s="357"/>
      <c r="I106" s="357"/>
      <c r="J106" s="8"/>
      <c r="K106" s="8"/>
      <c r="L106" s="8"/>
      <c r="M106" s="8"/>
      <c r="N106" s="357" t="s">
        <v>273</v>
      </c>
      <c r="O106" s="357"/>
      <c r="P106" s="357"/>
      <c r="Q106" s="8"/>
      <c r="R106" s="8"/>
      <c r="S106" s="8"/>
      <c r="T106" s="8"/>
      <c r="U106" s="357" t="s">
        <v>273</v>
      </c>
      <c r="V106" s="357"/>
      <c r="W106" s="357"/>
      <c r="X106" s="8"/>
      <c r="Y106" s="8"/>
      <c r="Z106" s="8"/>
      <c r="AA106" s="8"/>
      <c r="AB106" s="357" t="s">
        <v>273</v>
      </c>
      <c r="AC106" s="357"/>
      <c r="AD106" s="357"/>
      <c r="AE106" s="8"/>
      <c r="AF106" s="8"/>
      <c r="AG106" s="8"/>
      <c r="AH106" s="8"/>
      <c r="AI106" s="357" t="s">
        <v>273</v>
      </c>
      <c r="AJ106" s="357"/>
      <c r="AK106" s="357"/>
      <c r="AL106" s="8"/>
      <c r="AM106" s="8"/>
      <c r="AN106" s="8"/>
      <c r="AO106" s="8"/>
      <c r="AP106" s="126"/>
      <c r="AQ106" s="62"/>
      <c r="AR106" s="62"/>
      <c r="AS106" s="65"/>
    </row>
    <row r="107" spans="1:45">
      <c r="A107" s="426" t="s">
        <v>259</v>
      </c>
      <c r="B107" s="427"/>
      <c r="C107" s="427"/>
      <c r="D107" s="427"/>
      <c r="E107" s="428"/>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4"/>
      <c r="AP107" s="127"/>
      <c r="AQ107" s="63"/>
      <c r="AR107" s="63"/>
      <c r="AS107" s="64"/>
    </row>
    <row r="108" spans="1:45">
      <c r="A108" s="429" t="s">
        <v>87</v>
      </c>
      <c r="B108" s="430"/>
      <c r="C108" s="430"/>
      <c r="D108" s="430"/>
      <c r="E108" s="431"/>
      <c r="F108" s="63"/>
      <c r="G108" s="31" t="s">
        <v>17</v>
      </c>
      <c r="H108" s="348" t="s">
        <v>322</v>
      </c>
      <c r="I108" s="349"/>
      <c r="J108" s="6"/>
      <c r="K108" s="139">
        <v>0</v>
      </c>
      <c r="L108" s="139"/>
      <c r="M108" s="6"/>
      <c r="N108" s="31" t="s">
        <v>17</v>
      </c>
      <c r="O108" s="348" t="s">
        <v>323</v>
      </c>
      <c r="P108" s="349"/>
      <c r="Q108" s="6"/>
      <c r="R108" s="139">
        <v>0</v>
      </c>
      <c r="S108" s="139"/>
      <c r="T108" s="6"/>
      <c r="U108" s="31" t="s">
        <v>17</v>
      </c>
      <c r="V108" s="348" t="s">
        <v>324</v>
      </c>
      <c r="W108" s="349"/>
      <c r="X108" s="6"/>
      <c r="Y108" s="139">
        <v>0</v>
      </c>
      <c r="Z108" s="139"/>
      <c r="AA108" s="6"/>
      <c r="AB108" s="31" t="s">
        <v>17</v>
      </c>
      <c r="AC108" s="348" t="s">
        <v>325</v>
      </c>
      <c r="AD108" s="349"/>
      <c r="AE108" s="6"/>
      <c r="AF108" s="139">
        <v>0</v>
      </c>
      <c r="AG108" s="139"/>
      <c r="AH108" s="6"/>
      <c r="AI108" s="31" t="s">
        <v>17</v>
      </c>
      <c r="AJ108" s="348" t="s">
        <v>326</v>
      </c>
      <c r="AK108" s="349"/>
      <c r="AL108" s="6"/>
      <c r="AM108" s="139">
        <v>0</v>
      </c>
      <c r="AN108" s="139"/>
      <c r="AO108" s="49"/>
      <c r="AP108" s="127"/>
      <c r="AQ108" s="348">
        <f>K108+R108+Y108+AF108+AM108</f>
        <v>0</v>
      </c>
      <c r="AR108" s="349"/>
      <c r="AS108" s="64"/>
    </row>
    <row r="109" spans="1:45">
      <c r="A109" s="429"/>
      <c r="B109" s="430"/>
      <c r="C109" s="430"/>
      <c r="D109" s="430"/>
      <c r="E109" s="431"/>
      <c r="F109" s="63"/>
      <c r="G109" s="378" t="s">
        <v>273</v>
      </c>
      <c r="H109" s="378"/>
      <c r="I109" s="378"/>
      <c r="J109" s="6"/>
      <c r="K109" s="6"/>
      <c r="L109" s="6"/>
      <c r="M109" s="6"/>
      <c r="N109" s="378" t="s">
        <v>273</v>
      </c>
      <c r="O109" s="378"/>
      <c r="P109" s="378"/>
      <c r="Q109" s="6"/>
      <c r="R109" s="6"/>
      <c r="S109" s="6"/>
      <c r="T109" s="6"/>
      <c r="U109" s="378" t="s">
        <v>273</v>
      </c>
      <c r="V109" s="378"/>
      <c r="W109" s="378"/>
      <c r="X109" s="6"/>
      <c r="Y109" s="6"/>
      <c r="Z109" s="6"/>
      <c r="AA109" s="6"/>
      <c r="AB109" s="378" t="s">
        <v>273</v>
      </c>
      <c r="AC109" s="378"/>
      <c r="AD109" s="378"/>
      <c r="AE109" s="6"/>
      <c r="AF109" s="6"/>
      <c r="AG109" s="6"/>
      <c r="AH109" s="6"/>
      <c r="AI109" s="378" t="s">
        <v>273</v>
      </c>
      <c r="AJ109" s="378"/>
      <c r="AK109" s="378"/>
      <c r="AL109" s="6"/>
      <c r="AM109" s="6"/>
      <c r="AN109" s="6"/>
      <c r="AO109" s="6"/>
      <c r="AP109" s="127"/>
      <c r="AQ109" s="63"/>
      <c r="AR109" s="63"/>
      <c r="AS109" s="64"/>
    </row>
    <row r="110" spans="1:45">
      <c r="A110" s="429" t="s">
        <v>94</v>
      </c>
      <c r="B110" s="430"/>
      <c r="C110" s="430"/>
      <c r="D110" s="430"/>
      <c r="E110" s="431"/>
      <c r="F110" s="63"/>
      <c r="G110" s="31" t="s">
        <v>17</v>
      </c>
      <c r="H110" s="348" t="s">
        <v>327</v>
      </c>
      <c r="I110" s="349"/>
      <c r="J110" s="6"/>
      <c r="K110" s="6"/>
      <c r="L110" s="6"/>
      <c r="M110" s="6"/>
      <c r="N110" s="31" t="s">
        <v>17</v>
      </c>
      <c r="O110" s="348" t="s">
        <v>328</v>
      </c>
      <c r="P110" s="349"/>
      <c r="Q110" s="6"/>
      <c r="R110" s="6"/>
      <c r="S110" s="6"/>
      <c r="T110" s="6"/>
      <c r="U110" s="31" t="s">
        <v>17</v>
      </c>
      <c r="V110" s="348" t="s">
        <v>329</v>
      </c>
      <c r="W110" s="349"/>
      <c r="X110" s="6"/>
      <c r="Y110" s="6"/>
      <c r="Z110" s="6"/>
      <c r="AA110" s="6"/>
      <c r="AB110" s="31" t="s">
        <v>17</v>
      </c>
      <c r="AC110" s="348" t="s">
        <v>330</v>
      </c>
      <c r="AD110" s="349"/>
      <c r="AE110" s="6"/>
      <c r="AF110" s="6"/>
      <c r="AG110" s="6"/>
      <c r="AH110" s="6"/>
      <c r="AI110" s="31" t="s">
        <v>17</v>
      </c>
      <c r="AJ110" s="348" t="s">
        <v>331</v>
      </c>
      <c r="AK110" s="349"/>
      <c r="AL110" s="6"/>
      <c r="AM110" s="6"/>
      <c r="AN110" s="6"/>
      <c r="AO110" s="6"/>
      <c r="AP110" s="127"/>
      <c r="AQ110" s="6"/>
      <c r="AR110" s="6"/>
      <c r="AS110" s="64"/>
    </row>
    <row r="111" spans="1:45">
      <c r="A111" s="432"/>
      <c r="B111" s="433"/>
      <c r="C111" s="433"/>
      <c r="D111" s="433"/>
      <c r="E111" s="434"/>
      <c r="F111" s="63"/>
      <c r="G111" s="373" t="s">
        <v>273</v>
      </c>
      <c r="H111" s="373"/>
      <c r="I111" s="373"/>
      <c r="J111" s="6"/>
      <c r="K111" s="6"/>
      <c r="L111" s="6"/>
      <c r="M111" s="6"/>
      <c r="N111" s="373" t="s">
        <v>273</v>
      </c>
      <c r="O111" s="373"/>
      <c r="P111" s="373"/>
      <c r="Q111" s="6"/>
      <c r="R111" s="6"/>
      <c r="S111" s="6"/>
      <c r="T111" s="6"/>
      <c r="U111" s="373" t="s">
        <v>273</v>
      </c>
      <c r="V111" s="373"/>
      <c r="W111" s="373"/>
      <c r="X111" s="6"/>
      <c r="Y111" s="6"/>
      <c r="Z111" s="6"/>
      <c r="AA111" s="6"/>
      <c r="AB111" s="373" t="s">
        <v>273</v>
      </c>
      <c r="AC111" s="373"/>
      <c r="AD111" s="373"/>
      <c r="AE111" s="6"/>
      <c r="AF111" s="6"/>
      <c r="AG111" s="6"/>
      <c r="AH111" s="6"/>
      <c r="AI111" s="373" t="s">
        <v>273</v>
      </c>
      <c r="AJ111" s="373"/>
      <c r="AK111" s="373"/>
      <c r="AL111" s="6"/>
      <c r="AM111" s="6"/>
      <c r="AN111" s="6"/>
      <c r="AO111" s="6"/>
      <c r="AP111" s="127"/>
      <c r="AQ111" s="63"/>
      <c r="AR111" s="63"/>
      <c r="AS111" s="64"/>
    </row>
    <row r="112" spans="1:45">
      <c r="A112" s="435" t="s">
        <v>266</v>
      </c>
      <c r="B112" s="436"/>
      <c r="C112" s="436"/>
      <c r="D112" s="436"/>
      <c r="E112" s="436"/>
      <c r="F112" s="357"/>
      <c r="G112" s="357"/>
      <c r="H112" s="357"/>
      <c r="I112" s="357"/>
      <c r="J112" s="357"/>
      <c r="K112" s="357"/>
      <c r="L112" s="357"/>
      <c r="M112" s="357"/>
      <c r="N112" s="357"/>
      <c r="O112" s="357"/>
      <c r="P112" s="357"/>
      <c r="Q112" s="357"/>
      <c r="R112" s="357"/>
      <c r="S112" s="357"/>
      <c r="T112" s="357"/>
      <c r="U112" s="357"/>
      <c r="V112" s="357"/>
      <c r="W112" s="357"/>
      <c r="X112" s="357"/>
      <c r="Y112" s="357"/>
      <c r="Z112" s="357"/>
      <c r="AA112" s="357"/>
      <c r="AB112" s="357"/>
      <c r="AC112" s="357"/>
      <c r="AD112" s="357"/>
      <c r="AE112" s="357"/>
      <c r="AF112" s="357"/>
      <c r="AG112" s="357"/>
      <c r="AH112" s="357"/>
      <c r="AI112" s="357"/>
      <c r="AJ112" s="357"/>
      <c r="AK112" s="357"/>
      <c r="AL112" s="357"/>
      <c r="AM112" s="357"/>
      <c r="AN112" s="357"/>
      <c r="AO112" s="358"/>
      <c r="AP112" s="126"/>
      <c r="AQ112" s="62"/>
      <c r="AR112" s="62"/>
      <c r="AS112" s="65"/>
    </row>
    <row r="113" spans="1:45">
      <c r="A113" s="414" t="s">
        <v>87</v>
      </c>
      <c r="B113" s="415"/>
      <c r="C113" s="415"/>
      <c r="D113" s="415"/>
      <c r="E113" s="416"/>
      <c r="F113" s="62"/>
      <c r="G113" s="31" t="s">
        <v>17</v>
      </c>
      <c r="H113" s="348" t="s">
        <v>332</v>
      </c>
      <c r="I113" s="349"/>
      <c r="J113" s="8"/>
      <c r="K113" s="141">
        <v>0</v>
      </c>
      <c r="L113" s="142"/>
      <c r="M113" s="8"/>
      <c r="N113" s="31" t="s">
        <v>17</v>
      </c>
      <c r="O113" s="348" t="s">
        <v>333</v>
      </c>
      <c r="P113" s="349"/>
      <c r="Q113" s="8"/>
      <c r="R113" s="139">
        <v>0</v>
      </c>
      <c r="S113" s="139"/>
      <c r="T113" s="8"/>
      <c r="U113" s="31" t="s">
        <v>17</v>
      </c>
      <c r="V113" s="348" t="s">
        <v>334</v>
      </c>
      <c r="W113" s="349"/>
      <c r="X113" s="8"/>
      <c r="Y113" s="139">
        <v>0</v>
      </c>
      <c r="Z113" s="139"/>
      <c r="AA113" s="8"/>
      <c r="AB113" s="31" t="s">
        <v>17</v>
      </c>
      <c r="AC113" s="348" t="s">
        <v>335</v>
      </c>
      <c r="AD113" s="349"/>
      <c r="AE113" s="8"/>
      <c r="AF113" s="139">
        <v>0</v>
      </c>
      <c r="AG113" s="139"/>
      <c r="AH113" s="8"/>
      <c r="AI113" s="31" t="s">
        <v>17</v>
      </c>
      <c r="AJ113" s="348" t="s">
        <v>336</v>
      </c>
      <c r="AK113" s="349"/>
      <c r="AL113" s="8"/>
      <c r="AM113" s="139">
        <v>0</v>
      </c>
      <c r="AN113" s="139"/>
      <c r="AO113" s="50"/>
      <c r="AP113" s="126"/>
      <c r="AQ113" s="348">
        <f>K113+R113+Y113+AF113+AM113</f>
        <v>0</v>
      </c>
      <c r="AR113" s="349"/>
      <c r="AS113" s="65"/>
    </row>
    <row r="114" spans="1:45">
      <c r="A114" s="414"/>
      <c r="B114" s="415"/>
      <c r="C114" s="415"/>
      <c r="D114" s="415"/>
      <c r="E114" s="416"/>
      <c r="F114" s="62"/>
      <c r="G114" s="357" t="s">
        <v>273</v>
      </c>
      <c r="H114" s="357"/>
      <c r="I114" s="357"/>
      <c r="J114" s="8"/>
      <c r="K114" s="8"/>
      <c r="L114" s="8"/>
      <c r="M114" s="8"/>
      <c r="N114" s="357" t="s">
        <v>273</v>
      </c>
      <c r="O114" s="357"/>
      <c r="P114" s="357"/>
      <c r="Q114" s="8"/>
      <c r="R114" s="8"/>
      <c r="S114" s="8"/>
      <c r="T114" s="8"/>
      <c r="U114" s="357" t="s">
        <v>273</v>
      </c>
      <c r="V114" s="357"/>
      <c r="W114" s="357"/>
      <c r="X114" s="8"/>
      <c r="Y114" s="8"/>
      <c r="Z114" s="8"/>
      <c r="AA114" s="8"/>
      <c r="AB114" s="357" t="s">
        <v>273</v>
      </c>
      <c r="AC114" s="357"/>
      <c r="AD114" s="357"/>
      <c r="AE114" s="8"/>
      <c r="AF114" s="8"/>
      <c r="AG114" s="8"/>
      <c r="AH114" s="8"/>
      <c r="AI114" s="357" t="s">
        <v>273</v>
      </c>
      <c r="AJ114" s="357"/>
      <c r="AK114" s="357"/>
      <c r="AL114" s="8"/>
      <c r="AM114" s="8"/>
      <c r="AN114" s="8"/>
      <c r="AO114" s="8"/>
      <c r="AP114" s="126"/>
      <c r="AQ114" s="62"/>
      <c r="AR114" s="62"/>
      <c r="AS114" s="65"/>
    </row>
    <row r="115" spans="1:45">
      <c r="A115" s="414" t="s">
        <v>94</v>
      </c>
      <c r="B115" s="415"/>
      <c r="C115" s="415"/>
      <c r="D115" s="415"/>
      <c r="E115" s="416"/>
      <c r="F115" s="62"/>
      <c r="G115" s="31" t="s">
        <v>17</v>
      </c>
      <c r="H115" s="348" t="s">
        <v>337</v>
      </c>
      <c r="I115" s="349"/>
      <c r="J115" s="8"/>
      <c r="K115" s="8"/>
      <c r="L115" s="8"/>
      <c r="M115" s="8"/>
      <c r="N115" s="31" t="s">
        <v>17</v>
      </c>
      <c r="O115" s="353" t="s">
        <v>338</v>
      </c>
      <c r="P115" s="353"/>
      <c r="Q115" s="8"/>
      <c r="R115" s="8"/>
      <c r="S115" s="8"/>
      <c r="T115" s="8"/>
      <c r="U115" s="31" t="s">
        <v>17</v>
      </c>
      <c r="V115" s="353" t="s">
        <v>339</v>
      </c>
      <c r="W115" s="353"/>
      <c r="X115" s="8"/>
      <c r="Y115" s="8"/>
      <c r="Z115" s="8"/>
      <c r="AA115" s="8"/>
      <c r="AB115" s="31" t="s">
        <v>17</v>
      </c>
      <c r="AC115" s="353" t="s">
        <v>340</v>
      </c>
      <c r="AD115" s="353"/>
      <c r="AE115" s="8"/>
      <c r="AF115" s="8"/>
      <c r="AG115" s="8"/>
      <c r="AH115" s="8"/>
      <c r="AI115" s="31" t="s">
        <v>17</v>
      </c>
      <c r="AJ115" s="353" t="s">
        <v>341</v>
      </c>
      <c r="AK115" s="353"/>
      <c r="AL115" s="8"/>
      <c r="AM115" s="8"/>
      <c r="AN115" s="8"/>
      <c r="AO115" s="8"/>
      <c r="AP115" s="126"/>
      <c r="AQ115" s="8"/>
      <c r="AR115" s="8"/>
      <c r="AS115" s="65"/>
    </row>
    <row r="116" spans="1:45">
      <c r="A116" s="417"/>
      <c r="B116" s="418"/>
      <c r="C116" s="418"/>
      <c r="D116" s="418"/>
      <c r="E116" s="419"/>
      <c r="F116" s="62"/>
      <c r="G116" s="357" t="s">
        <v>273</v>
      </c>
      <c r="H116" s="357"/>
      <c r="I116" s="357"/>
      <c r="J116" s="8"/>
      <c r="K116" s="8"/>
      <c r="L116" s="8"/>
      <c r="M116" s="8"/>
      <c r="N116" s="357" t="s">
        <v>273</v>
      </c>
      <c r="O116" s="357"/>
      <c r="P116" s="357"/>
      <c r="Q116" s="8"/>
      <c r="R116" s="8"/>
      <c r="S116" s="8"/>
      <c r="T116" s="8"/>
      <c r="U116" s="357" t="s">
        <v>273</v>
      </c>
      <c r="V116" s="357"/>
      <c r="W116" s="357"/>
      <c r="X116" s="8"/>
      <c r="Y116" s="8"/>
      <c r="Z116" s="8"/>
      <c r="AA116" s="8"/>
      <c r="AB116" s="357" t="s">
        <v>273</v>
      </c>
      <c r="AC116" s="357"/>
      <c r="AD116" s="357"/>
      <c r="AE116" s="8"/>
      <c r="AF116" s="8"/>
      <c r="AG116" s="8"/>
      <c r="AH116" s="8"/>
      <c r="AI116" s="357" t="s">
        <v>273</v>
      </c>
      <c r="AJ116" s="357"/>
      <c r="AK116" s="357"/>
      <c r="AL116" s="8"/>
      <c r="AM116" s="8"/>
      <c r="AN116" s="8"/>
      <c r="AO116" s="8"/>
      <c r="AP116" s="126"/>
      <c r="AQ116" s="62"/>
      <c r="AR116" s="62"/>
      <c r="AS116" s="65"/>
    </row>
    <row r="117" spans="1:45">
      <c r="A117" s="383"/>
      <c r="B117" s="384"/>
      <c r="C117" s="384"/>
      <c r="D117" s="384"/>
      <c r="E117" s="384"/>
      <c r="F117" s="384"/>
      <c r="G117" s="384"/>
      <c r="H117" s="384"/>
      <c r="I117" s="384"/>
      <c r="J117" s="384"/>
      <c r="K117" s="384"/>
      <c r="L117" s="384"/>
      <c r="M117" s="384"/>
      <c r="N117" s="384"/>
      <c r="O117" s="384"/>
      <c r="P117" s="384"/>
      <c r="Q117" s="384"/>
      <c r="R117" s="384"/>
      <c r="S117" s="384"/>
      <c r="T117" s="384"/>
      <c r="U117" s="384"/>
      <c r="V117" s="384"/>
      <c r="W117" s="384"/>
      <c r="X117" s="384"/>
      <c r="Y117" s="384"/>
      <c r="Z117" s="384"/>
      <c r="AA117" s="384"/>
      <c r="AB117" s="384"/>
      <c r="AC117" s="384"/>
      <c r="AD117" s="384"/>
      <c r="AE117" s="384"/>
      <c r="AF117" s="384"/>
      <c r="AG117" s="384"/>
      <c r="AH117" s="384"/>
      <c r="AI117" s="384"/>
      <c r="AJ117" s="384"/>
      <c r="AK117" s="384"/>
      <c r="AL117" s="384"/>
      <c r="AM117" s="384"/>
      <c r="AN117" s="384"/>
      <c r="AO117" s="385"/>
      <c r="AP117" s="128"/>
      <c r="AQ117" s="68"/>
      <c r="AR117" s="68"/>
      <c r="AS117" s="69"/>
    </row>
    <row r="118" spans="1:45">
      <c r="A118" s="420" t="s">
        <v>342</v>
      </c>
      <c r="B118" s="421"/>
      <c r="C118" s="421"/>
      <c r="D118" s="421"/>
      <c r="E118" s="421"/>
      <c r="F118" s="351"/>
      <c r="G118" s="351"/>
      <c r="H118" s="351"/>
      <c r="I118" s="351"/>
      <c r="J118" s="351"/>
      <c r="K118" s="351"/>
      <c r="L118" s="351"/>
      <c r="M118" s="351"/>
      <c r="N118" s="351"/>
      <c r="O118" s="351"/>
      <c r="P118" s="351"/>
      <c r="Q118" s="351"/>
      <c r="R118" s="351"/>
      <c r="S118" s="351"/>
      <c r="T118" s="351"/>
      <c r="U118" s="351"/>
      <c r="V118" s="351"/>
      <c r="W118" s="351"/>
      <c r="X118" s="351"/>
      <c r="Y118" s="351"/>
      <c r="Z118" s="351"/>
      <c r="AA118" s="351"/>
      <c r="AB118" s="351"/>
      <c r="AC118" s="351"/>
      <c r="AD118" s="351"/>
      <c r="AE118" s="351"/>
      <c r="AF118" s="351"/>
      <c r="AG118" s="351"/>
      <c r="AH118" s="351"/>
      <c r="AI118" s="351"/>
      <c r="AJ118" s="351"/>
      <c r="AK118" s="351"/>
      <c r="AL118" s="351"/>
      <c r="AM118" s="351"/>
      <c r="AN118" s="351"/>
      <c r="AO118" s="352"/>
      <c r="AP118" s="129"/>
      <c r="AQ118" s="130"/>
      <c r="AR118" s="130"/>
      <c r="AS118" s="131"/>
    </row>
    <row r="119" spans="1:45">
      <c r="A119" s="422" t="s">
        <v>343</v>
      </c>
      <c r="B119" s="423"/>
      <c r="C119" s="423"/>
      <c r="D119" s="423"/>
      <c r="E119" s="439"/>
      <c r="F119" s="351"/>
      <c r="G119" s="351"/>
      <c r="H119" s="351"/>
      <c r="I119" s="351"/>
      <c r="J119" s="351"/>
      <c r="K119" s="351"/>
      <c r="L119" s="351"/>
      <c r="M119" s="351"/>
      <c r="N119" s="351"/>
      <c r="O119" s="351"/>
      <c r="P119" s="351"/>
      <c r="Q119" s="351"/>
      <c r="R119" s="351"/>
      <c r="S119" s="351"/>
      <c r="T119" s="351"/>
      <c r="U119" s="351"/>
      <c r="V119" s="351"/>
      <c r="W119" s="351"/>
      <c r="X119" s="351"/>
      <c r="Y119" s="351"/>
      <c r="Z119" s="351"/>
      <c r="AA119" s="351"/>
      <c r="AB119" s="351"/>
      <c r="AC119" s="351"/>
      <c r="AD119" s="351"/>
      <c r="AE119" s="351"/>
      <c r="AF119" s="351"/>
      <c r="AG119" s="351"/>
      <c r="AH119" s="351"/>
      <c r="AI119" s="351"/>
      <c r="AJ119" s="351"/>
      <c r="AK119" s="351"/>
      <c r="AL119" s="351"/>
      <c r="AM119" s="351"/>
      <c r="AN119" s="351"/>
      <c r="AO119" s="352"/>
      <c r="AP119" s="129"/>
      <c r="AQ119" s="130"/>
      <c r="AR119" s="130"/>
      <c r="AS119" s="131"/>
    </row>
    <row r="120" spans="1:45">
      <c r="A120" s="440"/>
      <c r="B120" s="441"/>
      <c r="C120" s="441"/>
      <c r="D120" s="441"/>
      <c r="E120" s="442"/>
      <c r="F120" s="351"/>
      <c r="G120" s="351"/>
      <c r="H120" s="351"/>
      <c r="I120" s="351"/>
      <c r="J120" s="351"/>
      <c r="K120" s="351"/>
      <c r="L120" s="351"/>
      <c r="M120" s="351"/>
      <c r="N120" s="351"/>
      <c r="O120" s="351"/>
      <c r="P120" s="351"/>
      <c r="Q120" s="351"/>
      <c r="R120" s="351"/>
      <c r="S120" s="351"/>
      <c r="T120" s="351"/>
      <c r="U120" s="351"/>
      <c r="V120" s="351"/>
      <c r="W120" s="351"/>
      <c r="X120" s="351"/>
      <c r="Y120" s="351"/>
      <c r="Z120" s="351"/>
      <c r="AA120" s="351"/>
      <c r="AB120" s="351"/>
      <c r="AC120" s="351"/>
      <c r="AD120" s="351"/>
      <c r="AE120" s="351"/>
      <c r="AF120" s="351"/>
      <c r="AG120" s="351"/>
      <c r="AH120" s="351"/>
      <c r="AI120" s="351"/>
      <c r="AJ120" s="351"/>
      <c r="AK120" s="351"/>
      <c r="AL120" s="351"/>
      <c r="AM120" s="351"/>
      <c r="AN120" s="351"/>
      <c r="AO120" s="352"/>
      <c r="AP120" s="129"/>
      <c r="AQ120" s="130"/>
      <c r="AR120" s="130"/>
      <c r="AS120" s="131"/>
    </row>
    <row r="121" spans="1:45">
      <c r="A121" s="426" t="s">
        <v>344</v>
      </c>
      <c r="B121" s="427"/>
      <c r="C121" s="427"/>
      <c r="D121" s="427"/>
      <c r="E121" s="428"/>
      <c r="F121" s="355"/>
      <c r="G121" s="355"/>
      <c r="H121" s="355"/>
      <c r="I121" s="355"/>
      <c r="J121" s="355"/>
      <c r="K121" s="355"/>
      <c r="L121" s="355"/>
      <c r="M121" s="355"/>
      <c r="N121" s="355"/>
      <c r="O121" s="355"/>
      <c r="P121" s="355"/>
      <c r="Q121" s="355"/>
      <c r="R121" s="355"/>
      <c r="S121" s="355"/>
      <c r="T121" s="355"/>
      <c r="U121" s="355"/>
      <c r="V121" s="355"/>
      <c r="W121" s="355"/>
      <c r="X121" s="355"/>
      <c r="Y121" s="355"/>
      <c r="Z121" s="355"/>
      <c r="AA121" s="355"/>
      <c r="AB121" s="355"/>
      <c r="AC121" s="355"/>
      <c r="AD121" s="355"/>
      <c r="AE121" s="355"/>
      <c r="AF121" s="355"/>
      <c r="AG121" s="355"/>
      <c r="AH121" s="355"/>
      <c r="AI121" s="355"/>
      <c r="AJ121" s="355"/>
      <c r="AK121" s="355"/>
      <c r="AL121" s="355"/>
      <c r="AM121" s="355"/>
      <c r="AN121" s="355"/>
      <c r="AO121" s="356"/>
      <c r="AP121" s="127"/>
      <c r="AQ121" s="63"/>
      <c r="AR121" s="63"/>
      <c r="AS121" s="64"/>
    </row>
    <row r="122" spans="1:45">
      <c r="A122" s="429" t="s">
        <v>87</v>
      </c>
      <c r="B122" s="430"/>
      <c r="C122" s="430"/>
      <c r="D122" s="430"/>
      <c r="E122" s="431"/>
      <c r="F122" s="63"/>
      <c r="G122" s="31" t="s">
        <v>11</v>
      </c>
      <c r="H122" s="348" t="s">
        <v>60</v>
      </c>
      <c r="I122" s="349"/>
      <c r="J122" s="6"/>
      <c r="K122" s="139">
        <v>944</v>
      </c>
      <c r="L122" s="139"/>
      <c r="M122" s="6"/>
      <c r="N122" s="31" t="s">
        <v>11</v>
      </c>
      <c r="O122" s="348" t="s">
        <v>60</v>
      </c>
      <c r="P122" s="349"/>
      <c r="Q122" s="6"/>
      <c r="R122" s="139">
        <v>939</v>
      </c>
      <c r="S122" s="139"/>
      <c r="T122" s="6"/>
      <c r="U122" s="31" t="s">
        <v>11</v>
      </c>
      <c r="V122" s="348" t="s">
        <v>60</v>
      </c>
      <c r="W122" s="349"/>
      <c r="X122" s="6"/>
      <c r="Y122" s="139">
        <v>759</v>
      </c>
      <c r="Z122" s="139"/>
      <c r="AA122" s="6"/>
      <c r="AB122" s="31" t="s">
        <v>11</v>
      </c>
      <c r="AC122" s="348" t="s">
        <v>60</v>
      </c>
      <c r="AD122" s="349"/>
      <c r="AE122" s="6"/>
      <c r="AF122" s="139">
        <v>994</v>
      </c>
      <c r="AG122" s="139"/>
      <c r="AH122" s="6"/>
      <c r="AI122" s="31" t="s">
        <v>11</v>
      </c>
      <c r="AJ122" s="348" t="s">
        <v>60</v>
      </c>
      <c r="AK122" s="349"/>
      <c r="AL122" s="6"/>
      <c r="AM122" s="139">
        <v>835</v>
      </c>
      <c r="AN122" s="139"/>
      <c r="AO122" s="49"/>
      <c r="AP122" s="127"/>
      <c r="AQ122" s="348">
        <f>K122+R122+Y122+AF122+AM122</f>
        <v>4471</v>
      </c>
      <c r="AR122" s="349"/>
      <c r="AS122" s="64"/>
    </row>
    <row r="123" spans="1:45">
      <c r="A123" s="429"/>
      <c r="B123" s="430"/>
      <c r="C123" s="430"/>
      <c r="D123" s="430"/>
      <c r="E123" s="431"/>
      <c r="F123" s="63"/>
      <c r="G123" s="378" t="s">
        <v>345</v>
      </c>
      <c r="H123" s="378"/>
      <c r="I123" s="378"/>
      <c r="J123" s="6"/>
      <c r="K123" s="6"/>
      <c r="L123" s="6"/>
      <c r="M123" s="6"/>
      <c r="N123" s="379">
        <v>45664.680509259262</v>
      </c>
      <c r="O123" s="378"/>
      <c r="P123" s="378"/>
      <c r="Q123" s="6"/>
      <c r="R123" s="6"/>
      <c r="S123" s="6"/>
      <c r="T123" s="6"/>
      <c r="U123" s="379">
        <v>45695.38144675926</v>
      </c>
      <c r="V123" s="378"/>
      <c r="W123" s="378"/>
      <c r="X123" s="6"/>
      <c r="Y123" s="6"/>
      <c r="Z123" s="6"/>
      <c r="AA123" s="6"/>
      <c r="AB123" s="379">
        <v>45723.711076388892</v>
      </c>
      <c r="AC123" s="378"/>
      <c r="AD123" s="378"/>
      <c r="AE123" s="6"/>
      <c r="AF123" s="6"/>
      <c r="AG123" s="6"/>
      <c r="AH123" s="6"/>
      <c r="AI123" s="379">
        <v>45754.379004629627</v>
      </c>
      <c r="AJ123" s="378"/>
      <c r="AK123" s="378"/>
      <c r="AL123" s="6"/>
      <c r="AM123" s="6"/>
      <c r="AN123" s="6"/>
      <c r="AO123" s="6"/>
      <c r="AP123" s="127"/>
      <c r="AQ123" s="63"/>
      <c r="AR123" s="63"/>
      <c r="AS123" s="64"/>
    </row>
    <row r="124" spans="1:45">
      <c r="A124" s="429" t="s">
        <v>94</v>
      </c>
      <c r="B124" s="430"/>
      <c r="C124" s="430"/>
      <c r="D124" s="430"/>
      <c r="E124" s="431"/>
      <c r="F124" s="63"/>
      <c r="G124" s="31" t="s">
        <v>17</v>
      </c>
      <c r="H124" s="348" t="s">
        <v>346</v>
      </c>
      <c r="I124" s="349"/>
      <c r="J124" s="6"/>
      <c r="K124" s="6"/>
      <c r="L124" s="6"/>
      <c r="M124" s="6"/>
      <c r="N124" s="31" t="s">
        <v>17</v>
      </c>
      <c r="O124" s="348" t="s">
        <v>347</v>
      </c>
      <c r="P124" s="349"/>
      <c r="Q124" s="6"/>
      <c r="R124" s="6"/>
      <c r="S124" s="6"/>
      <c r="T124" s="6"/>
      <c r="U124" s="31" t="s">
        <v>17</v>
      </c>
      <c r="V124" s="348" t="s">
        <v>348</v>
      </c>
      <c r="W124" s="349"/>
      <c r="X124" s="6"/>
      <c r="Y124" s="6"/>
      <c r="Z124" s="6"/>
      <c r="AA124" s="6"/>
      <c r="AB124" s="31" t="s">
        <v>17</v>
      </c>
      <c r="AC124" s="348" t="s">
        <v>349</v>
      </c>
      <c r="AD124" s="349"/>
      <c r="AE124" s="6"/>
      <c r="AF124" s="6"/>
      <c r="AG124" s="6"/>
      <c r="AH124" s="6"/>
      <c r="AI124" s="31" t="s">
        <v>17</v>
      </c>
      <c r="AJ124" s="348" t="s">
        <v>350</v>
      </c>
      <c r="AK124" s="349"/>
      <c r="AL124" s="6"/>
      <c r="AM124" s="6"/>
      <c r="AN124" s="6"/>
      <c r="AO124" s="6"/>
      <c r="AP124" s="127"/>
      <c r="AQ124" s="6"/>
      <c r="AR124" s="6"/>
      <c r="AS124" s="64"/>
    </row>
    <row r="125" spans="1:45">
      <c r="A125" s="432"/>
      <c r="B125" s="433"/>
      <c r="C125" s="433"/>
      <c r="D125" s="433"/>
      <c r="E125" s="434"/>
      <c r="F125" s="63"/>
      <c r="G125" s="373" t="s">
        <v>273</v>
      </c>
      <c r="H125" s="373"/>
      <c r="I125" s="373"/>
      <c r="J125" s="6"/>
      <c r="K125" s="6"/>
      <c r="L125" s="6"/>
      <c r="M125" s="6"/>
      <c r="N125" s="373" t="s">
        <v>273</v>
      </c>
      <c r="O125" s="373"/>
      <c r="P125" s="373"/>
      <c r="Q125" s="6"/>
      <c r="R125" s="6"/>
      <c r="S125" s="6"/>
      <c r="T125" s="6"/>
      <c r="U125" s="373" t="s">
        <v>273</v>
      </c>
      <c r="V125" s="373"/>
      <c r="W125" s="373"/>
      <c r="X125" s="6"/>
      <c r="Y125" s="6"/>
      <c r="Z125" s="6"/>
      <c r="AA125" s="6"/>
      <c r="AB125" s="373" t="s">
        <v>273</v>
      </c>
      <c r="AC125" s="373"/>
      <c r="AD125" s="373"/>
      <c r="AE125" s="6"/>
      <c r="AF125" s="6"/>
      <c r="AG125" s="6"/>
      <c r="AH125" s="6"/>
      <c r="AI125" s="373" t="s">
        <v>273</v>
      </c>
      <c r="AJ125" s="373"/>
      <c r="AK125" s="373"/>
      <c r="AL125" s="6"/>
      <c r="AM125" s="6"/>
      <c r="AN125" s="6"/>
      <c r="AO125" s="6"/>
      <c r="AP125" s="127"/>
      <c r="AQ125" s="63"/>
      <c r="AR125" s="63"/>
      <c r="AS125" s="64"/>
    </row>
    <row r="126" spans="1:45">
      <c r="A126" s="66"/>
      <c r="B126" s="67"/>
      <c r="C126" s="67"/>
      <c r="D126" s="67"/>
      <c r="E126" s="67"/>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9"/>
      <c r="AP126" s="128"/>
      <c r="AQ126" s="68"/>
      <c r="AR126" s="68"/>
      <c r="AS126" s="69"/>
    </row>
    <row r="127" spans="1:45">
      <c r="A127" s="420" t="s">
        <v>351</v>
      </c>
      <c r="B127" s="421"/>
      <c r="C127" s="421"/>
      <c r="D127" s="421"/>
      <c r="E127" s="421"/>
      <c r="F127" s="351"/>
      <c r="G127" s="351"/>
      <c r="H127" s="351"/>
      <c r="I127" s="351"/>
      <c r="J127" s="351"/>
      <c r="K127" s="351"/>
      <c r="L127" s="351"/>
      <c r="M127" s="351"/>
      <c r="N127" s="351"/>
      <c r="O127" s="351"/>
      <c r="P127" s="351"/>
      <c r="Q127" s="351"/>
      <c r="R127" s="351"/>
      <c r="S127" s="351"/>
      <c r="T127" s="351"/>
      <c r="U127" s="351"/>
      <c r="V127" s="351"/>
      <c r="W127" s="351"/>
      <c r="X127" s="351"/>
      <c r="Y127" s="351"/>
      <c r="Z127" s="351"/>
      <c r="AA127" s="351"/>
      <c r="AB127" s="351"/>
      <c r="AC127" s="351"/>
      <c r="AD127" s="351"/>
      <c r="AE127" s="351"/>
      <c r="AF127" s="351"/>
      <c r="AG127" s="351"/>
      <c r="AH127" s="351"/>
      <c r="AI127" s="351"/>
      <c r="AJ127" s="351"/>
      <c r="AK127" s="351"/>
      <c r="AL127" s="351"/>
      <c r="AM127" s="351"/>
      <c r="AN127" s="351"/>
      <c r="AO127" s="352"/>
      <c r="AP127" s="129"/>
      <c r="AQ127" s="130"/>
      <c r="AR127" s="130"/>
      <c r="AS127" s="131"/>
    </row>
    <row r="128" spans="1:45" ht="15" customHeight="1">
      <c r="A128" s="366" t="s">
        <v>352</v>
      </c>
      <c r="B128" s="367"/>
      <c r="C128" s="367"/>
      <c r="D128" s="367"/>
      <c r="E128" s="368"/>
      <c r="F128" s="351"/>
      <c r="G128" s="351"/>
      <c r="H128" s="351"/>
      <c r="I128" s="351"/>
      <c r="J128" s="351"/>
      <c r="K128" s="351"/>
      <c r="L128" s="351"/>
      <c r="M128" s="351"/>
      <c r="N128" s="351"/>
      <c r="O128" s="351"/>
      <c r="P128" s="351"/>
      <c r="Q128" s="351"/>
      <c r="R128" s="351"/>
      <c r="S128" s="351"/>
      <c r="T128" s="351"/>
      <c r="U128" s="351"/>
      <c r="V128" s="351"/>
      <c r="W128" s="351"/>
      <c r="X128" s="351"/>
      <c r="Y128" s="351"/>
      <c r="Z128" s="351"/>
      <c r="AA128" s="351"/>
      <c r="AB128" s="351"/>
      <c r="AC128" s="351"/>
      <c r="AD128" s="351"/>
      <c r="AE128" s="351"/>
      <c r="AF128" s="351"/>
      <c r="AG128" s="351"/>
      <c r="AH128" s="351"/>
      <c r="AI128" s="351"/>
      <c r="AJ128" s="351"/>
      <c r="AK128" s="351"/>
      <c r="AL128" s="351"/>
      <c r="AM128" s="351"/>
      <c r="AN128" s="351"/>
      <c r="AO128" s="352"/>
      <c r="AP128" s="129"/>
      <c r="AQ128" s="130"/>
      <c r="AR128" s="130"/>
      <c r="AS128" s="131"/>
    </row>
    <row r="129" spans="1:45">
      <c r="A129" s="374" t="s">
        <v>353</v>
      </c>
      <c r="B129" s="375"/>
      <c r="C129" s="375"/>
      <c r="D129" s="375"/>
      <c r="E129" s="375"/>
      <c r="F129" s="63"/>
      <c r="G129" s="31" t="s">
        <v>11</v>
      </c>
      <c r="H129" s="348" t="s">
        <v>81</v>
      </c>
      <c r="I129" s="349"/>
      <c r="J129" s="6"/>
      <c r="K129" s="140"/>
      <c r="L129" s="140"/>
      <c r="M129" s="6"/>
      <c r="N129" s="31" t="s">
        <v>11</v>
      </c>
      <c r="O129" s="348" t="s">
        <v>81</v>
      </c>
      <c r="P129" s="349"/>
      <c r="Q129" s="6"/>
      <c r="R129" s="140"/>
      <c r="S129" s="140"/>
      <c r="T129" s="6"/>
      <c r="U129" s="31" t="s">
        <v>11</v>
      </c>
      <c r="V129" s="348" t="s">
        <v>81</v>
      </c>
      <c r="W129" s="349"/>
      <c r="X129" s="6"/>
      <c r="Y129" s="140"/>
      <c r="Z129" s="140"/>
      <c r="AA129" s="6"/>
      <c r="AB129" s="31" t="s">
        <v>11</v>
      </c>
      <c r="AC129" s="348" t="s">
        <v>81</v>
      </c>
      <c r="AD129" s="349"/>
      <c r="AE129" s="6"/>
      <c r="AF129" s="140"/>
      <c r="AG129" s="140"/>
      <c r="AH129" s="6"/>
      <c r="AI129" s="31" t="s">
        <v>11</v>
      </c>
      <c r="AJ129" s="348" t="s">
        <v>81</v>
      </c>
      <c r="AK129" s="349"/>
      <c r="AL129" s="6"/>
      <c r="AM129" s="140"/>
      <c r="AN129" s="140"/>
      <c r="AO129" s="49"/>
      <c r="AP129" s="127"/>
      <c r="AQ129" s="140"/>
      <c r="AR129" s="140"/>
      <c r="AS129" s="64"/>
    </row>
    <row r="130" spans="1:45">
      <c r="A130" s="374"/>
      <c r="B130" s="375"/>
      <c r="C130" s="375"/>
      <c r="D130" s="375"/>
      <c r="E130" s="375"/>
      <c r="F130" s="63"/>
      <c r="G130" s="378" t="s">
        <v>354</v>
      </c>
      <c r="H130" s="378"/>
      <c r="I130" s="378"/>
      <c r="J130" s="6"/>
      <c r="K130" s="140"/>
      <c r="L130" s="140"/>
      <c r="M130" s="6"/>
      <c r="N130" s="379">
        <v>45664.599942129629</v>
      </c>
      <c r="O130" s="378"/>
      <c r="P130" s="378"/>
      <c r="Q130" s="6"/>
      <c r="R130" s="140"/>
      <c r="S130" s="140"/>
      <c r="T130" s="6"/>
      <c r="U130" s="379">
        <v>45695.640833333331</v>
      </c>
      <c r="V130" s="378"/>
      <c r="W130" s="378"/>
      <c r="X130" s="6"/>
      <c r="Y130" s="140"/>
      <c r="Z130" s="140"/>
      <c r="AA130" s="6"/>
      <c r="AB130" s="379">
        <v>45723.696458333332</v>
      </c>
      <c r="AC130" s="378"/>
      <c r="AD130" s="378"/>
      <c r="AE130" s="6"/>
      <c r="AF130" s="140"/>
      <c r="AG130" s="140"/>
      <c r="AH130" s="6"/>
      <c r="AI130" s="379">
        <v>45754.649780092594</v>
      </c>
      <c r="AJ130" s="378"/>
      <c r="AK130" s="378"/>
      <c r="AL130" s="6"/>
      <c r="AM130" s="140"/>
      <c r="AN130" s="140"/>
      <c r="AO130" s="49"/>
      <c r="AP130" s="127"/>
      <c r="AQ130" s="140"/>
      <c r="AR130" s="140"/>
      <c r="AS130" s="64"/>
    </row>
    <row r="131" spans="1:45">
      <c r="A131" s="376" t="s">
        <v>355</v>
      </c>
      <c r="B131" s="377"/>
      <c r="C131" s="377"/>
      <c r="D131" s="377"/>
      <c r="E131" s="377"/>
      <c r="F131" s="62"/>
      <c r="G131" s="31" t="s">
        <v>11</v>
      </c>
      <c r="H131" s="353" t="s">
        <v>81</v>
      </c>
      <c r="I131" s="353"/>
      <c r="J131" s="8"/>
      <c r="K131" s="8"/>
      <c r="L131" s="8"/>
      <c r="M131" s="8"/>
      <c r="N131" s="31" t="s">
        <v>11</v>
      </c>
      <c r="O131" s="353" t="s">
        <v>81</v>
      </c>
      <c r="P131" s="353"/>
      <c r="Q131" s="8"/>
      <c r="R131" s="8"/>
      <c r="S131" s="8"/>
      <c r="T131" s="8"/>
      <c r="U131" s="31" t="s">
        <v>11</v>
      </c>
      <c r="V131" s="353" t="s">
        <v>81</v>
      </c>
      <c r="W131" s="353"/>
      <c r="X131" s="8"/>
      <c r="Y131" s="8"/>
      <c r="Z131" s="8"/>
      <c r="AA131" s="8"/>
      <c r="AB131" s="31" t="s">
        <v>11</v>
      </c>
      <c r="AC131" s="353" t="s">
        <v>81</v>
      </c>
      <c r="AD131" s="353"/>
      <c r="AE131" s="8"/>
      <c r="AF131" s="8"/>
      <c r="AG131" s="8"/>
      <c r="AH131" s="8"/>
      <c r="AI131" s="31" t="s">
        <v>11</v>
      </c>
      <c r="AJ131" s="353" t="s">
        <v>81</v>
      </c>
      <c r="AK131" s="353"/>
      <c r="AL131" s="8"/>
      <c r="AM131" s="8"/>
      <c r="AN131" s="8"/>
      <c r="AO131" s="50"/>
      <c r="AP131" s="126"/>
      <c r="AQ131" s="8"/>
      <c r="AR131" s="8"/>
      <c r="AS131" s="65"/>
    </row>
    <row r="132" spans="1:45">
      <c r="A132" s="376"/>
      <c r="B132" s="377"/>
      <c r="C132" s="377"/>
      <c r="D132" s="377"/>
      <c r="E132" s="377"/>
      <c r="F132" s="62"/>
      <c r="G132" s="357" t="s">
        <v>356</v>
      </c>
      <c r="H132" s="357"/>
      <c r="I132" s="357"/>
      <c r="J132" s="8"/>
      <c r="K132" s="8"/>
      <c r="L132" s="8"/>
      <c r="M132" s="8"/>
      <c r="N132" s="359">
        <v>45664.599965277775</v>
      </c>
      <c r="O132" s="357"/>
      <c r="P132" s="357"/>
      <c r="Q132" s="8"/>
      <c r="R132" s="8"/>
      <c r="S132" s="8"/>
      <c r="T132" s="8"/>
      <c r="U132" s="359">
        <v>45695.640844907408</v>
      </c>
      <c r="V132" s="357"/>
      <c r="W132" s="357"/>
      <c r="X132" s="8"/>
      <c r="Y132" s="8"/>
      <c r="Z132" s="8"/>
      <c r="AA132" s="8"/>
      <c r="AB132" s="359">
        <v>45723.696469907409</v>
      </c>
      <c r="AC132" s="357"/>
      <c r="AD132" s="357"/>
      <c r="AE132" s="8"/>
      <c r="AF132" s="8"/>
      <c r="AG132" s="8"/>
      <c r="AH132" s="8"/>
      <c r="AI132" s="359">
        <v>45754.64980324074</v>
      </c>
      <c r="AJ132" s="357"/>
      <c r="AK132" s="357"/>
      <c r="AL132" s="8"/>
      <c r="AM132" s="8"/>
      <c r="AN132" s="8"/>
      <c r="AO132" s="50"/>
      <c r="AP132" s="126"/>
      <c r="AQ132" s="8"/>
      <c r="AR132" s="8"/>
      <c r="AS132" s="65"/>
    </row>
    <row r="133" spans="1:45">
      <c r="A133" s="374" t="s">
        <v>357</v>
      </c>
      <c r="B133" s="375"/>
      <c r="C133" s="375"/>
      <c r="D133" s="375"/>
      <c r="E133" s="375"/>
      <c r="F133" s="63"/>
      <c r="G133" s="31" t="s">
        <v>11</v>
      </c>
      <c r="H133" s="348" t="s">
        <v>81</v>
      </c>
      <c r="I133" s="349"/>
      <c r="J133" s="6"/>
      <c r="K133" s="140"/>
      <c r="L133" s="140"/>
      <c r="M133" s="6"/>
      <c r="N133" s="31" t="s">
        <v>11</v>
      </c>
      <c r="O133" s="348" t="s">
        <v>81</v>
      </c>
      <c r="P133" s="349"/>
      <c r="Q133" s="6"/>
      <c r="R133" s="140"/>
      <c r="S133" s="140"/>
      <c r="T133" s="6"/>
      <c r="U133" s="31" t="s">
        <v>11</v>
      </c>
      <c r="V133" s="348" t="s">
        <v>81</v>
      </c>
      <c r="W133" s="349"/>
      <c r="X133" s="6"/>
      <c r="Y133" s="140"/>
      <c r="Z133" s="140"/>
      <c r="AA133" s="6"/>
      <c r="AB133" s="31" t="s">
        <v>11</v>
      </c>
      <c r="AC133" s="348" t="s">
        <v>81</v>
      </c>
      <c r="AD133" s="349"/>
      <c r="AE133" s="6"/>
      <c r="AF133" s="140"/>
      <c r="AG133" s="140"/>
      <c r="AH133" s="6"/>
      <c r="AI133" s="31" t="s">
        <v>11</v>
      </c>
      <c r="AJ133" s="353" t="s">
        <v>81</v>
      </c>
      <c r="AK133" s="353"/>
      <c r="AL133" s="6"/>
      <c r="AM133" s="140"/>
      <c r="AN133" s="140"/>
      <c r="AO133" s="49"/>
      <c r="AP133" s="127"/>
      <c r="AQ133" s="140"/>
      <c r="AR133" s="140"/>
      <c r="AS133" s="64"/>
    </row>
    <row r="134" spans="1:45">
      <c r="A134" s="374"/>
      <c r="B134" s="375"/>
      <c r="C134" s="375"/>
      <c r="D134" s="375"/>
      <c r="E134" s="375"/>
      <c r="F134" s="63"/>
      <c r="G134" s="378" t="s">
        <v>358</v>
      </c>
      <c r="H134" s="378"/>
      <c r="I134" s="378"/>
      <c r="J134" s="6"/>
      <c r="K134" s="140"/>
      <c r="L134" s="140"/>
      <c r="M134" s="6"/>
      <c r="N134" s="379">
        <v>45664.67560185185</v>
      </c>
      <c r="O134" s="378"/>
      <c r="P134" s="378"/>
      <c r="Q134" s="6"/>
      <c r="R134" s="140"/>
      <c r="S134" s="140"/>
      <c r="T134" s="6"/>
      <c r="U134" s="379">
        <v>45695.640856481485</v>
      </c>
      <c r="V134" s="378"/>
      <c r="W134" s="378"/>
      <c r="X134" s="6"/>
      <c r="Y134" s="140"/>
      <c r="Z134" s="140"/>
      <c r="AA134" s="6"/>
      <c r="AB134" s="379">
        <v>45723.696481481478</v>
      </c>
      <c r="AC134" s="378"/>
      <c r="AD134" s="378"/>
      <c r="AE134" s="6"/>
      <c r="AF134" s="140"/>
      <c r="AG134" s="140"/>
      <c r="AH134" s="6"/>
      <c r="AI134" s="379">
        <v>45754.649814814817</v>
      </c>
      <c r="AJ134" s="378"/>
      <c r="AK134" s="378"/>
      <c r="AL134" s="6"/>
      <c r="AM134" s="140"/>
      <c r="AN134" s="140"/>
      <c r="AO134" s="49"/>
      <c r="AP134" s="127"/>
      <c r="AQ134" s="140"/>
      <c r="AR134" s="140"/>
      <c r="AS134" s="64"/>
    </row>
    <row r="135" spans="1:45">
      <c r="A135" s="376" t="s">
        <v>359</v>
      </c>
      <c r="B135" s="377"/>
      <c r="C135" s="377"/>
      <c r="D135" s="377"/>
      <c r="E135" s="377"/>
      <c r="F135" s="62"/>
      <c r="G135" s="31" t="s">
        <v>11</v>
      </c>
      <c r="H135" s="353" t="s">
        <v>81</v>
      </c>
      <c r="I135" s="353"/>
      <c r="J135" s="8"/>
      <c r="K135" s="8"/>
      <c r="L135" s="8"/>
      <c r="M135" s="8"/>
      <c r="N135" s="31" t="s">
        <v>11</v>
      </c>
      <c r="O135" s="353" t="s">
        <v>81</v>
      </c>
      <c r="P135" s="353"/>
      <c r="Q135" s="8"/>
      <c r="R135" s="8"/>
      <c r="S135" s="8"/>
      <c r="T135" s="8"/>
      <c r="U135" s="31" t="s">
        <v>11</v>
      </c>
      <c r="V135" s="353" t="s">
        <v>81</v>
      </c>
      <c r="W135" s="353"/>
      <c r="X135" s="8"/>
      <c r="Y135" s="8"/>
      <c r="Z135" s="8"/>
      <c r="AA135" s="8"/>
      <c r="AB135" s="31" t="s">
        <v>11</v>
      </c>
      <c r="AC135" s="353" t="s">
        <v>81</v>
      </c>
      <c r="AD135" s="353"/>
      <c r="AE135" s="8"/>
      <c r="AF135" s="8"/>
      <c r="AG135" s="8"/>
      <c r="AH135" s="8"/>
      <c r="AI135" s="31" t="s">
        <v>11</v>
      </c>
      <c r="AJ135" s="353" t="s">
        <v>81</v>
      </c>
      <c r="AK135" s="353"/>
      <c r="AL135" s="8"/>
      <c r="AM135" s="8"/>
      <c r="AN135" s="8"/>
      <c r="AO135" s="50"/>
      <c r="AP135" s="126"/>
      <c r="AQ135" s="8"/>
      <c r="AR135" s="8"/>
      <c r="AS135" s="65"/>
    </row>
    <row r="136" spans="1:45">
      <c r="A136" s="376"/>
      <c r="B136" s="377"/>
      <c r="C136" s="377"/>
      <c r="D136" s="377"/>
      <c r="E136" s="377"/>
      <c r="F136" s="62"/>
      <c r="G136" s="357" t="s">
        <v>360</v>
      </c>
      <c r="H136" s="357"/>
      <c r="I136" s="357"/>
      <c r="J136" s="8"/>
      <c r="K136" s="8"/>
      <c r="L136" s="8"/>
      <c r="M136" s="8"/>
      <c r="N136" s="359">
        <v>45664.675636574073</v>
      </c>
      <c r="O136" s="357"/>
      <c r="P136" s="357"/>
      <c r="Q136" s="8"/>
      <c r="R136" s="8"/>
      <c r="S136" s="8"/>
      <c r="T136" s="8"/>
      <c r="U136" s="359">
        <v>45695.640868055554</v>
      </c>
      <c r="V136" s="357"/>
      <c r="W136" s="357"/>
      <c r="X136" s="8"/>
      <c r="Y136" s="8"/>
      <c r="Z136" s="8"/>
      <c r="AA136" s="8"/>
      <c r="AB136" s="359">
        <v>45723.696493055555</v>
      </c>
      <c r="AC136" s="357"/>
      <c r="AD136" s="357"/>
      <c r="AE136" s="8"/>
      <c r="AF136" s="8"/>
      <c r="AG136" s="8"/>
      <c r="AH136" s="8"/>
      <c r="AI136" s="359">
        <v>45754.64984953704</v>
      </c>
      <c r="AJ136" s="357"/>
      <c r="AK136" s="357"/>
      <c r="AL136" s="8"/>
      <c r="AM136" s="8"/>
      <c r="AN136" s="8"/>
      <c r="AO136" s="50"/>
      <c r="AP136" s="126"/>
      <c r="AQ136" s="62"/>
      <c r="AR136" s="62"/>
      <c r="AS136" s="65"/>
    </row>
    <row r="137" spans="1:45">
      <c r="A137" s="371" t="s">
        <v>361</v>
      </c>
      <c r="B137" s="372"/>
      <c r="C137" s="372"/>
      <c r="D137" s="372"/>
      <c r="E137" s="372"/>
      <c r="F137" s="63"/>
      <c r="G137" s="54"/>
      <c r="H137" s="54"/>
      <c r="I137" s="54"/>
      <c r="J137" s="54"/>
      <c r="K137" s="54"/>
      <c r="L137" s="54"/>
      <c r="M137" s="54"/>
      <c r="N137" s="63"/>
      <c r="O137" s="63"/>
      <c r="P137" s="63"/>
      <c r="Q137" s="63"/>
      <c r="R137" s="63"/>
      <c r="S137" s="63"/>
      <c r="T137" s="63"/>
      <c r="U137" s="54"/>
      <c r="V137" s="54"/>
      <c r="W137" s="54"/>
      <c r="X137" s="54"/>
      <c r="Y137" s="54"/>
      <c r="Z137" s="54"/>
      <c r="AA137" s="63"/>
      <c r="AB137" s="54"/>
      <c r="AC137" s="54"/>
      <c r="AD137" s="54"/>
      <c r="AE137" s="54"/>
      <c r="AF137" s="54"/>
      <c r="AG137" s="54"/>
      <c r="AH137" s="63"/>
      <c r="AI137" s="63"/>
      <c r="AJ137" s="63"/>
      <c r="AK137" s="63"/>
      <c r="AL137" s="63"/>
      <c r="AM137" s="54"/>
      <c r="AN137" s="54"/>
      <c r="AO137" s="64"/>
      <c r="AP137" s="127"/>
      <c r="AQ137" s="63"/>
      <c r="AR137" s="63"/>
      <c r="AS137" s="64"/>
    </row>
    <row r="138" spans="1:45">
      <c r="A138" s="360" t="s">
        <v>362</v>
      </c>
      <c r="B138" s="361"/>
      <c r="C138" s="361"/>
      <c r="D138" s="361"/>
      <c r="E138" s="361"/>
      <c r="F138" s="63"/>
      <c r="G138" s="31" t="s">
        <v>17</v>
      </c>
      <c r="H138" s="348" t="s">
        <v>363</v>
      </c>
      <c r="I138" s="349"/>
      <c r="J138" s="6"/>
      <c r="K138" s="140"/>
      <c r="L138" s="140"/>
      <c r="M138" s="6"/>
      <c r="N138" s="31" t="s">
        <v>17</v>
      </c>
      <c r="O138" s="348" t="s">
        <v>364</v>
      </c>
      <c r="P138" s="349"/>
      <c r="Q138" s="6"/>
      <c r="R138" s="140"/>
      <c r="S138" s="140"/>
      <c r="T138" s="6"/>
      <c r="U138" s="31" t="s">
        <v>17</v>
      </c>
      <c r="V138" s="348" t="s">
        <v>365</v>
      </c>
      <c r="W138" s="349"/>
      <c r="X138" s="6"/>
      <c r="Y138" s="140"/>
      <c r="Z138" s="140"/>
      <c r="AA138" s="6"/>
      <c r="AB138" s="31" t="s">
        <v>17</v>
      </c>
      <c r="AC138" s="348" t="s">
        <v>366</v>
      </c>
      <c r="AD138" s="349"/>
      <c r="AE138" s="6"/>
      <c r="AF138" s="140"/>
      <c r="AG138" s="140"/>
      <c r="AH138" s="6"/>
      <c r="AI138" s="31" t="s">
        <v>17</v>
      </c>
      <c r="AJ138" s="348" t="s">
        <v>367</v>
      </c>
      <c r="AK138" s="349"/>
      <c r="AL138" s="6"/>
      <c r="AM138" s="140"/>
      <c r="AN138" s="140"/>
      <c r="AO138" s="49"/>
      <c r="AP138" s="127"/>
      <c r="AQ138" s="140"/>
      <c r="AR138" s="140"/>
      <c r="AS138" s="64"/>
    </row>
    <row r="139" spans="1:45">
      <c r="A139" s="360"/>
      <c r="B139" s="361"/>
      <c r="C139" s="361"/>
      <c r="D139" s="361"/>
      <c r="E139" s="361"/>
      <c r="F139" s="63"/>
      <c r="G139" s="373" t="s">
        <v>93</v>
      </c>
      <c r="H139" s="373"/>
      <c r="I139" s="373"/>
      <c r="J139" s="6"/>
      <c r="K139" s="140"/>
      <c r="L139" s="140"/>
      <c r="M139" s="6"/>
      <c r="N139" s="373" t="s">
        <v>93</v>
      </c>
      <c r="O139" s="373"/>
      <c r="P139" s="373"/>
      <c r="Q139" s="6"/>
      <c r="R139" s="140"/>
      <c r="S139" s="140"/>
      <c r="T139" s="6"/>
      <c r="U139" s="373" t="s">
        <v>93</v>
      </c>
      <c r="V139" s="373"/>
      <c r="W139" s="373"/>
      <c r="X139" s="6"/>
      <c r="Y139" s="140"/>
      <c r="Z139" s="140"/>
      <c r="AA139" s="6"/>
      <c r="AB139" s="373" t="s">
        <v>93</v>
      </c>
      <c r="AC139" s="373"/>
      <c r="AD139" s="373"/>
      <c r="AE139" s="6"/>
      <c r="AF139" s="140"/>
      <c r="AG139" s="140"/>
      <c r="AH139" s="6"/>
      <c r="AI139" s="373" t="s">
        <v>93</v>
      </c>
      <c r="AJ139" s="373"/>
      <c r="AK139" s="373"/>
      <c r="AL139" s="6"/>
      <c r="AM139" s="140"/>
      <c r="AN139" s="140"/>
      <c r="AO139" s="49"/>
      <c r="AP139" s="127"/>
      <c r="AQ139" s="63"/>
      <c r="AR139" s="63"/>
      <c r="AS139" s="64"/>
    </row>
    <row r="140" spans="1:45" ht="15" thickBot="1">
      <c r="A140" s="362"/>
      <c r="B140" s="363"/>
      <c r="C140" s="363"/>
      <c r="D140" s="363"/>
      <c r="E140" s="363"/>
      <c r="F140" s="364"/>
      <c r="G140" s="364"/>
      <c r="H140" s="364"/>
      <c r="I140" s="364"/>
      <c r="J140" s="364"/>
      <c r="K140" s="364"/>
      <c r="L140" s="364"/>
      <c r="M140" s="364"/>
      <c r="N140" s="364"/>
      <c r="O140" s="364"/>
      <c r="P140" s="364"/>
      <c r="Q140" s="364"/>
      <c r="R140" s="364"/>
      <c r="S140" s="364"/>
      <c r="T140" s="364"/>
      <c r="U140" s="364"/>
      <c r="V140" s="364"/>
      <c r="W140" s="364"/>
      <c r="X140" s="364"/>
      <c r="Y140" s="364"/>
      <c r="Z140" s="364"/>
      <c r="AA140" s="364"/>
      <c r="AB140" s="364"/>
      <c r="AC140" s="364"/>
      <c r="AD140" s="364"/>
      <c r="AE140" s="364"/>
      <c r="AF140" s="364"/>
      <c r="AG140" s="364"/>
      <c r="AH140" s="364"/>
      <c r="AI140" s="364"/>
      <c r="AJ140" s="364"/>
      <c r="AK140" s="364"/>
      <c r="AL140" s="364"/>
      <c r="AM140" s="364"/>
      <c r="AN140" s="364"/>
      <c r="AO140" s="365"/>
      <c r="AP140" s="132"/>
      <c r="AQ140" s="133"/>
      <c r="AR140" s="133"/>
      <c r="AS140" s="134"/>
    </row>
  </sheetData>
  <mergeCells count="630">
    <mergeCell ref="AQ134:AR134"/>
    <mergeCell ref="AF138:AG138"/>
    <mergeCell ref="AF139:AG139"/>
    <mergeCell ref="AM138:AN138"/>
    <mergeCell ref="AM139:AN139"/>
    <mergeCell ref="AJ138:AK138"/>
    <mergeCell ref="AI139:AK139"/>
    <mergeCell ref="K133:L133"/>
    <mergeCell ref="K134:L134"/>
    <mergeCell ref="R133:S133"/>
    <mergeCell ref="R134:S134"/>
    <mergeCell ref="Y133:Z133"/>
    <mergeCell ref="Y134:Z134"/>
    <mergeCell ref="AQ138:AR138"/>
    <mergeCell ref="AJ135:AK135"/>
    <mergeCell ref="AI136:AK136"/>
    <mergeCell ref="N139:P139"/>
    <mergeCell ref="R122:S122"/>
    <mergeCell ref="Y122:Z122"/>
    <mergeCell ref="AF133:AG133"/>
    <mergeCell ref="AF134:AG134"/>
    <mergeCell ref="K122:L122"/>
    <mergeCell ref="AF122:AG122"/>
    <mergeCell ref="AB114:AD114"/>
    <mergeCell ref="AM133:AN133"/>
    <mergeCell ref="AM134:AN134"/>
    <mergeCell ref="AM129:AN129"/>
    <mergeCell ref="AM130:AN130"/>
    <mergeCell ref="AJ124:AK124"/>
    <mergeCell ref="AJ122:AK122"/>
    <mergeCell ref="AC124:AD124"/>
    <mergeCell ref="AC122:AD122"/>
    <mergeCell ref="AM122:AN122"/>
    <mergeCell ref="AI123:AK123"/>
    <mergeCell ref="O122:P122"/>
    <mergeCell ref="AB134:AD134"/>
    <mergeCell ref="AI134:AK134"/>
    <mergeCell ref="AJ115:AK115"/>
    <mergeCell ref="A117:AO117"/>
    <mergeCell ref="G132:I132"/>
    <mergeCell ref="N132:P132"/>
    <mergeCell ref="AM113:AN113"/>
    <mergeCell ref="AI116:AK116"/>
    <mergeCell ref="F118:AO120"/>
    <mergeCell ref="F121:AO121"/>
    <mergeCell ref="R108:S108"/>
    <mergeCell ref="Y108:Z108"/>
    <mergeCell ref="AB116:AD116"/>
    <mergeCell ref="N106:P106"/>
    <mergeCell ref="U106:W106"/>
    <mergeCell ref="AB106:AD106"/>
    <mergeCell ref="AI106:AK106"/>
    <mergeCell ref="R113:S113"/>
    <mergeCell ref="Y113:Z113"/>
    <mergeCell ref="N116:P116"/>
    <mergeCell ref="U116:W116"/>
    <mergeCell ref="AM108:AN108"/>
    <mergeCell ref="AF108:AG108"/>
    <mergeCell ref="G111:I111"/>
    <mergeCell ref="N109:P109"/>
    <mergeCell ref="N111:P111"/>
    <mergeCell ref="U109:W109"/>
    <mergeCell ref="U111:W111"/>
    <mergeCell ref="AB109:AD109"/>
    <mergeCell ref="AB111:AD111"/>
    <mergeCell ref="AM103:AN103"/>
    <mergeCell ref="AM97:AN97"/>
    <mergeCell ref="AM98:AN98"/>
    <mergeCell ref="AM99:AN99"/>
    <mergeCell ref="AM100:AN100"/>
    <mergeCell ref="R103:S103"/>
    <mergeCell ref="Y103:Z103"/>
    <mergeCell ref="K88:L88"/>
    <mergeCell ref="V103:W103"/>
    <mergeCell ref="AC103:AD103"/>
    <mergeCell ref="AJ103:AK103"/>
    <mergeCell ref="AJ90:AK90"/>
    <mergeCell ref="U91:W91"/>
    <mergeCell ref="AB91:AD91"/>
    <mergeCell ref="AI91:AK91"/>
    <mergeCell ref="AI89:AK89"/>
    <mergeCell ref="AF88:AG88"/>
    <mergeCell ref="G100:AK100"/>
    <mergeCell ref="G91:I91"/>
    <mergeCell ref="H83:I83"/>
    <mergeCell ref="H80:I80"/>
    <mergeCell ref="AJ83:AK83"/>
    <mergeCell ref="AC83:AD83"/>
    <mergeCell ref="V83:W83"/>
    <mergeCell ref="O83:P83"/>
    <mergeCell ref="AI81:AK81"/>
    <mergeCell ref="G81:I81"/>
    <mergeCell ref="V80:W80"/>
    <mergeCell ref="AM83:AN83"/>
    <mergeCell ref="AM78:AN78"/>
    <mergeCell ref="Y78:Z78"/>
    <mergeCell ref="R78:S78"/>
    <mergeCell ref="U81:W81"/>
    <mergeCell ref="AB81:AD81"/>
    <mergeCell ref="K83:L83"/>
    <mergeCell ref="R83:S83"/>
    <mergeCell ref="N81:P81"/>
    <mergeCell ref="Y83:Z83"/>
    <mergeCell ref="AF83:AG83"/>
    <mergeCell ref="AM63:AN63"/>
    <mergeCell ref="AM72:AN72"/>
    <mergeCell ref="A67:AO67"/>
    <mergeCell ref="K63:L63"/>
    <mergeCell ref="R63:S63"/>
    <mergeCell ref="Y63:Z63"/>
    <mergeCell ref="A69:E70"/>
    <mergeCell ref="A71:E71"/>
    <mergeCell ref="AM73:AN73"/>
    <mergeCell ref="AF63:AG63"/>
    <mergeCell ref="U64:W64"/>
    <mergeCell ref="AB64:AD64"/>
    <mergeCell ref="AI64:AK64"/>
    <mergeCell ref="A72:E73"/>
    <mergeCell ref="A68:E68"/>
    <mergeCell ref="N64:P64"/>
    <mergeCell ref="G64:I64"/>
    <mergeCell ref="G66:I66"/>
    <mergeCell ref="O65:P65"/>
    <mergeCell ref="AJ65:AK65"/>
    <mergeCell ref="AJ63:AK63"/>
    <mergeCell ref="AC65:AD65"/>
    <mergeCell ref="AC63:AD63"/>
    <mergeCell ref="V65:W65"/>
    <mergeCell ref="AF58:AG58"/>
    <mergeCell ref="AC60:AD60"/>
    <mergeCell ref="AM58:AN58"/>
    <mergeCell ref="AB44:AD44"/>
    <mergeCell ref="AI44:AK44"/>
    <mergeCell ref="AF43:AG43"/>
    <mergeCell ref="AC58:AD58"/>
    <mergeCell ref="AJ58:AK58"/>
    <mergeCell ref="AC43:AD43"/>
    <mergeCell ref="AM52:AN52"/>
    <mergeCell ref="AM53:AN53"/>
    <mergeCell ref="AM54:AN54"/>
    <mergeCell ref="H54:AK54"/>
    <mergeCell ref="G55:AK55"/>
    <mergeCell ref="A47:AO47"/>
    <mergeCell ref="AM43:AN43"/>
    <mergeCell ref="AM55:AN55"/>
    <mergeCell ref="K8:L8"/>
    <mergeCell ref="K9:L9"/>
    <mergeCell ref="R8:S8"/>
    <mergeCell ref="R9:S9"/>
    <mergeCell ref="Y8:Z8"/>
    <mergeCell ref="Y9:Z9"/>
    <mergeCell ref="AF8:AG8"/>
    <mergeCell ref="AF9:AG9"/>
    <mergeCell ref="AM8:AN8"/>
    <mergeCell ref="AM9:AN9"/>
    <mergeCell ref="G125:I125"/>
    <mergeCell ref="N125:P125"/>
    <mergeCell ref="U125:W125"/>
    <mergeCell ref="AB125:AD125"/>
    <mergeCell ref="AI125:AK125"/>
    <mergeCell ref="G130:I130"/>
    <mergeCell ref="N130:P130"/>
    <mergeCell ref="U130:W130"/>
    <mergeCell ref="AB130:AD130"/>
    <mergeCell ref="AI130:AK130"/>
    <mergeCell ref="AJ129:AK129"/>
    <mergeCell ref="AC129:AD129"/>
    <mergeCell ref="V129:W129"/>
    <mergeCell ref="O129:P129"/>
    <mergeCell ref="H129:I129"/>
    <mergeCell ref="F127:AO128"/>
    <mergeCell ref="K129:L129"/>
    <mergeCell ref="K130:L130"/>
    <mergeCell ref="R129:S129"/>
    <mergeCell ref="R130:S130"/>
    <mergeCell ref="Y129:Z129"/>
    <mergeCell ref="Y130:Z130"/>
    <mergeCell ref="AF129:AG129"/>
    <mergeCell ref="AF130:AG130"/>
    <mergeCell ref="A32:E33"/>
    <mergeCell ref="A14:E15"/>
    <mergeCell ref="A16:E17"/>
    <mergeCell ref="A18:E18"/>
    <mergeCell ref="A19:E19"/>
    <mergeCell ref="A20:E21"/>
    <mergeCell ref="A22:E23"/>
    <mergeCell ref="A39:E40"/>
    <mergeCell ref="A41:E41"/>
    <mergeCell ref="A35:E35"/>
    <mergeCell ref="A36:E37"/>
    <mergeCell ref="A38:E38"/>
    <mergeCell ref="A34:AO34"/>
    <mergeCell ref="F35:AO37"/>
    <mergeCell ref="F38:AO38"/>
    <mergeCell ref="F41:AO42"/>
    <mergeCell ref="H32:I32"/>
    <mergeCell ref="O32:P32"/>
    <mergeCell ref="V32:W32"/>
    <mergeCell ref="AC32:AD32"/>
    <mergeCell ref="AJ32:AK32"/>
    <mergeCell ref="G33:I33"/>
    <mergeCell ref="N33:P33"/>
    <mergeCell ref="U33:W33"/>
    <mergeCell ref="A10:E10"/>
    <mergeCell ref="A11:E12"/>
    <mergeCell ref="A13:E13"/>
    <mergeCell ref="A24:E24"/>
    <mergeCell ref="A25:E26"/>
    <mergeCell ref="A27:E28"/>
    <mergeCell ref="A29:E29"/>
    <mergeCell ref="A30:E31"/>
    <mergeCell ref="A7:E7"/>
    <mergeCell ref="A99:E100"/>
    <mergeCell ref="A101:E101"/>
    <mergeCell ref="A87:E87"/>
    <mergeCell ref="A88:E89"/>
    <mergeCell ref="A90:E91"/>
    <mergeCell ref="A77:E77"/>
    <mergeCell ref="A78:E79"/>
    <mergeCell ref="A80:E81"/>
    <mergeCell ref="A82:E82"/>
    <mergeCell ref="A83:E84"/>
    <mergeCell ref="A85:E86"/>
    <mergeCell ref="A92:AO92"/>
    <mergeCell ref="H97:AK97"/>
    <mergeCell ref="G98:AK98"/>
    <mergeCell ref="F76:AO77"/>
    <mergeCell ref="F87:AO87"/>
    <mergeCell ref="H90:I90"/>
    <mergeCell ref="O90:P90"/>
    <mergeCell ref="AM88:AN88"/>
    <mergeCell ref="A93:E93"/>
    <mergeCell ref="A94:E95"/>
    <mergeCell ref="A96:E96"/>
    <mergeCell ref="H78:I78"/>
    <mergeCell ref="O78:P78"/>
    <mergeCell ref="F1:G1"/>
    <mergeCell ref="I1:N1"/>
    <mergeCell ref="A118:E118"/>
    <mergeCell ref="A119:E120"/>
    <mergeCell ref="A121:E121"/>
    <mergeCell ref="A122:E123"/>
    <mergeCell ref="A124:E125"/>
    <mergeCell ref="A127:E127"/>
    <mergeCell ref="A112:E112"/>
    <mergeCell ref="A113:E114"/>
    <mergeCell ref="A115:E116"/>
    <mergeCell ref="A102:E102"/>
    <mergeCell ref="A103:E104"/>
    <mergeCell ref="A105:E106"/>
    <mergeCell ref="A107:E107"/>
    <mergeCell ref="A108:E109"/>
    <mergeCell ref="A110:E111"/>
    <mergeCell ref="F2:F4"/>
    <mergeCell ref="A74:E75"/>
    <mergeCell ref="A76:E76"/>
    <mergeCell ref="A62:E62"/>
    <mergeCell ref="A63:E64"/>
    <mergeCell ref="A65:E66"/>
    <mergeCell ref="A97:E98"/>
    <mergeCell ref="AB28:AD28"/>
    <mergeCell ref="AI28:AK28"/>
    <mergeCell ref="H25:I25"/>
    <mergeCell ref="O25:P25"/>
    <mergeCell ref="V25:W25"/>
    <mergeCell ref="AC25:AD25"/>
    <mergeCell ref="AJ25:AK25"/>
    <mergeCell ref="G26:I26"/>
    <mergeCell ref="N26:P26"/>
    <mergeCell ref="U26:W26"/>
    <mergeCell ref="AB26:AD26"/>
    <mergeCell ref="AI26:AK26"/>
    <mergeCell ref="K25:L25"/>
    <mergeCell ref="R25:S25"/>
    <mergeCell ref="Y25:Z25"/>
    <mergeCell ref="AF25:AG25"/>
    <mergeCell ref="AI23:AK23"/>
    <mergeCell ref="H20:I20"/>
    <mergeCell ref="O20:P20"/>
    <mergeCell ref="V20:W20"/>
    <mergeCell ref="AC20:AD20"/>
    <mergeCell ref="AJ20:AK20"/>
    <mergeCell ref="G21:I21"/>
    <mergeCell ref="N21:P21"/>
    <mergeCell ref="U21:W21"/>
    <mergeCell ref="AB21:AD21"/>
    <mergeCell ref="AI21:AK21"/>
    <mergeCell ref="K20:L20"/>
    <mergeCell ref="R20:S20"/>
    <mergeCell ref="Y20:Z20"/>
    <mergeCell ref="AF20:AG20"/>
    <mergeCell ref="AB23:AD23"/>
    <mergeCell ref="F24:AO24"/>
    <mergeCell ref="H30:I30"/>
    <mergeCell ref="O30:P30"/>
    <mergeCell ref="V30:W30"/>
    <mergeCell ref="AC30:AD30"/>
    <mergeCell ref="AJ30:AK30"/>
    <mergeCell ref="G31:I31"/>
    <mergeCell ref="N31:P31"/>
    <mergeCell ref="U31:W31"/>
    <mergeCell ref="AB31:AD31"/>
    <mergeCell ref="AI31:AK31"/>
    <mergeCell ref="K30:L30"/>
    <mergeCell ref="R30:S30"/>
    <mergeCell ref="Y30:Z30"/>
    <mergeCell ref="AF30:AG30"/>
    <mergeCell ref="F29:AO29"/>
    <mergeCell ref="H27:I27"/>
    <mergeCell ref="O27:P27"/>
    <mergeCell ref="V27:W27"/>
    <mergeCell ref="AC27:AD27"/>
    <mergeCell ref="AJ27:AK27"/>
    <mergeCell ref="G28:I28"/>
    <mergeCell ref="N28:P28"/>
    <mergeCell ref="U28:W28"/>
    <mergeCell ref="AB61:AD61"/>
    <mergeCell ref="N61:P61"/>
    <mergeCell ref="H60:I60"/>
    <mergeCell ref="O60:P60"/>
    <mergeCell ref="A42:E42"/>
    <mergeCell ref="A43:E44"/>
    <mergeCell ref="A45:E46"/>
    <mergeCell ref="A57:E57"/>
    <mergeCell ref="A58:E59"/>
    <mergeCell ref="A60:E61"/>
    <mergeCell ref="A48:E48"/>
    <mergeCell ref="A49:E50"/>
    <mergeCell ref="A51:E51"/>
    <mergeCell ref="A52:E53"/>
    <mergeCell ref="A54:E55"/>
    <mergeCell ref="A56:E56"/>
    <mergeCell ref="G44:I44"/>
    <mergeCell ref="H58:I58"/>
    <mergeCell ref="H43:I43"/>
    <mergeCell ref="G59:I59"/>
    <mergeCell ref="G61:I61"/>
    <mergeCell ref="N44:P44"/>
    <mergeCell ref="G53:AK53"/>
    <mergeCell ref="Y58:Z58"/>
    <mergeCell ref="AB33:AD33"/>
    <mergeCell ref="AI33:AK33"/>
    <mergeCell ref="K78:L78"/>
    <mergeCell ref="R43:S43"/>
    <mergeCell ref="Y43:Z43"/>
    <mergeCell ref="U44:W44"/>
    <mergeCell ref="K43:L43"/>
    <mergeCell ref="V43:W43"/>
    <mergeCell ref="AJ78:AK78"/>
    <mergeCell ref="U61:W61"/>
    <mergeCell ref="V60:W60"/>
    <mergeCell ref="O58:P58"/>
    <mergeCell ref="V58:W58"/>
    <mergeCell ref="AJ43:AK43"/>
    <mergeCell ref="O43:P43"/>
    <mergeCell ref="N59:P59"/>
    <mergeCell ref="U59:W59"/>
    <mergeCell ref="AB59:AD59"/>
    <mergeCell ref="AI59:AK59"/>
    <mergeCell ref="K58:L58"/>
    <mergeCell ref="R58:S58"/>
    <mergeCell ref="AJ60:AK60"/>
    <mergeCell ref="AI46:AK46"/>
    <mergeCell ref="AI61:AK61"/>
    <mergeCell ref="V63:W63"/>
    <mergeCell ref="O63:P63"/>
    <mergeCell ref="H65:I65"/>
    <mergeCell ref="H63:I63"/>
    <mergeCell ref="O80:P80"/>
    <mergeCell ref="N66:P66"/>
    <mergeCell ref="U66:W66"/>
    <mergeCell ref="AB66:AD66"/>
    <mergeCell ref="AI66:AK66"/>
    <mergeCell ref="V78:W78"/>
    <mergeCell ref="AC78:AD78"/>
    <mergeCell ref="AC80:AD80"/>
    <mergeCell ref="AJ80:AK80"/>
    <mergeCell ref="AF78:AG78"/>
    <mergeCell ref="H72:AK72"/>
    <mergeCell ref="G73:AK73"/>
    <mergeCell ref="F71:AO71"/>
    <mergeCell ref="G79:I79"/>
    <mergeCell ref="N79:P79"/>
    <mergeCell ref="U79:W79"/>
    <mergeCell ref="AB79:AD79"/>
    <mergeCell ref="AI79:AK79"/>
    <mergeCell ref="AM74:AN74"/>
    <mergeCell ref="AM75:AN75"/>
    <mergeCell ref="H74:AK74"/>
    <mergeCell ref="G75:AK75"/>
    <mergeCell ref="AI111:AK111"/>
    <mergeCell ref="AJ110:AK110"/>
    <mergeCell ref="G84:I84"/>
    <mergeCell ref="G86:I86"/>
    <mergeCell ref="N84:P84"/>
    <mergeCell ref="N86:P86"/>
    <mergeCell ref="U84:W84"/>
    <mergeCell ref="U86:W86"/>
    <mergeCell ref="AB84:AD84"/>
    <mergeCell ref="AB86:AD86"/>
    <mergeCell ref="AI84:AK84"/>
    <mergeCell ref="AI86:AK86"/>
    <mergeCell ref="AJ85:AK85"/>
    <mergeCell ref="AC85:AD85"/>
    <mergeCell ref="V85:W85"/>
    <mergeCell ref="O85:P85"/>
    <mergeCell ref="H85:I85"/>
    <mergeCell ref="K103:L103"/>
    <mergeCell ref="AF103:AG103"/>
    <mergeCell ref="R88:S88"/>
    <mergeCell ref="Y88:Z88"/>
    <mergeCell ref="H99:AK99"/>
    <mergeCell ref="H113:I113"/>
    <mergeCell ref="O113:P113"/>
    <mergeCell ref="V113:W113"/>
    <mergeCell ref="AC113:AD113"/>
    <mergeCell ref="AJ113:AK113"/>
    <mergeCell ref="G114:I114"/>
    <mergeCell ref="N114:P114"/>
    <mergeCell ref="U114:W114"/>
    <mergeCell ref="AI114:AK114"/>
    <mergeCell ref="AF113:AG113"/>
    <mergeCell ref="K113:L113"/>
    <mergeCell ref="AJ108:AK108"/>
    <mergeCell ref="AC110:AD110"/>
    <mergeCell ref="AC108:AD108"/>
    <mergeCell ref="V108:W108"/>
    <mergeCell ref="V110:W110"/>
    <mergeCell ref="O110:P110"/>
    <mergeCell ref="O108:P108"/>
    <mergeCell ref="H110:I110"/>
    <mergeCell ref="K108:L108"/>
    <mergeCell ref="H108:I108"/>
    <mergeCell ref="G109:I109"/>
    <mergeCell ref="AI109:AK109"/>
    <mergeCell ref="AI104:AK104"/>
    <mergeCell ref="H105:I105"/>
    <mergeCell ref="O105:P105"/>
    <mergeCell ref="V105:W105"/>
    <mergeCell ref="AC105:AD105"/>
    <mergeCell ref="AJ105:AK105"/>
    <mergeCell ref="H103:I103"/>
    <mergeCell ref="N91:P91"/>
    <mergeCell ref="H88:I88"/>
    <mergeCell ref="O88:P88"/>
    <mergeCell ref="V88:W88"/>
    <mergeCell ref="N89:P89"/>
    <mergeCell ref="U89:W89"/>
    <mergeCell ref="V90:W90"/>
    <mergeCell ref="AM5:AN5"/>
    <mergeCell ref="U2:V3"/>
    <mergeCell ref="G106:I106"/>
    <mergeCell ref="AB89:AD89"/>
    <mergeCell ref="H124:I124"/>
    <mergeCell ref="G116:I116"/>
    <mergeCell ref="H122:I122"/>
    <mergeCell ref="G123:I123"/>
    <mergeCell ref="N123:P123"/>
    <mergeCell ref="U123:W123"/>
    <mergeCell ref="AB123:AD123"/>
    <mergeCell ref="G104:I104"/>
    <mergeCell ref="N104:P104"/>
    <mergeCell ref="U104:W104"/>
    <mergeCell ref="AB104:AD104"/>
    <mergeCell ref="H115:I115"/>
    <mergeCell ref="O115:P115"/>
    <mergeCell ref="V115:W115"/>
    <mergeCell ref="AC115:AD115"/>
    <mergeCell ref="AC90:AD90"/>
    <mergeCell ref="O103:P103"/>
    <mergeCell ref="V124:W124"/>
    <mergeCell ref="V122:W122"/>
    <mergeCell ref="O124:P124"/>
    <mergeCell ref="AM39:AN39"/>
    <mergeCell ref="A6:AO6"/>
    <mergeCell ref="AK1:AO4"/>
    <mergeCell ref="A4:C5"/>
    <mergeCell ref="D4:E5"/>
    <mergeCell ref="G5:H5"/>
    <mergeCell ref="N5:O5"/>
    <mergeCell ref="U5:V5"/>
    <mergeCell ref="AB5:AC5"/>
    <mergeCell ref="AI5:AJ5"/>
    <mergeCell ref="G4:H4"/>
    <mergeCell ref="N4:O4"/>
    <mergeCell ref="U4:V4"/>
    <mergeCell ref="AB4:AC4"/>
    <mergeCell ref="AI4:AJ4"/>
    <mergeCell ref="AB1:AJ1"/>
    <mergeCell ref="G2:H3"/>
    <mergeCell ref="N2:O3"/>
    <mergeCell ref="A1:E3"/>
    <mergeCell ref="K5:L5"/>
    <mergeCell ref="R5:S5"/>
    <mergeCell ref="Y5:Z5"/>
    <mergeCell ref="AF5:AG5"/>
    <mergeCell ref="AB2:AC3"/>
    <mergeCell ref="AI2:AJ3"/>
    <mergeCell ref="I2:M4"/>
    <mergeCell ref="P2:T4"/>
    <mergeCell ref="W2:AA4"/>
    <mergeCell ref="AD2:AH4"/>
    <mergeCell ref="F48:AO50"/>
    <mergeCell ref="F68:AO70"/>
    <mergeCell ref="H16:AK16"/>
    <mergeCell ref="G17:AK17"/>
    <mergeCell ref="H39:AK39"/>
    <mergeCell ref="G40:AK40"/>
    <mergeCell ref="H52:AK52"/>
    <mergeCell ref="H45:I45"/>
    <mergeCell ref="O45:P45"/>
    <mergeCell ref="V45:W45"/>
    <mergeCell ref="AC45:AD45"/>
    <mergeCell ref="AJ45:AK45"/>
    <mergeCell ref="G46:I46"/>
    <mergeCell ref="N46:P46"/>
    <mergeCell ref="U46:W46"/>
    <mergeCell ref="AB46:AD46"/>
    <mergeCell ref="AM20:AN20"/>
    <mergeCell ref="AM30:AN30"/>
    <mergeCell ref="AM40:AN40"/>
    <mergeCell ref="A135:E136"/>
    <mergeCell ref="A133:E134"/>
    <mergeCell ref="H133:I133"/>
    <mergeCell ref="O133:P133"/>
    <mergeCell ref="V133:W133"/>
    <mergeCell ref="AC133:AD133"/>
    <mergeCell ref="AJ133:AK133"/>
    <mergeCell ref="G134:I134"/>
    <mergeCell ref="N134:P134"/>
    <mergeCell ref="U134:W134"/>
    <mergeCell ref="U132:W132"/>
    <mergeCell ref="AB132:AD132"/>
    <mergeCell ref="AI132:AK132"/>
    <mergeCell ref="H131:I131"/>
    <mergeCell ref="O131:P131"/>
    <mergeCell ref="V131:W131"/>
    <mergeCell ref="AC131:AD131"/>
    <mergeCell ref="AJ131:AK131"/>
    <mergeCell ref="A129:E130"/>
    <mergeCell ref="A131:E132"/>
    <mergeCell ref="H138:I138"/>
    <mergeCell ref="V138:W138"/>
    <mergeCell ref="AC138:AD138"/>
    <mergeCell ref="G139:I139"/>
    <mergeCell ref="U139:W139"/>
    <mergeCell ref="AB139:AD139"/>
    <mergeCell ref="H135:I135"/>
    <mergeCell ref="O135:P135"/>
    <mergeCell ref="V135:W135"/>
    <mergeCell ref="AC135:AD135"/>
    <mergeCell ref="K138:L138"/>
    <mergeCell ref="K139:L139"/>
    <mergeCell ref="R138:S138"/>
    <mergeCell ref="R139:S139"/>
    <mergeCell ref="Y138:Z138"/>
    <mergeCell ref="Y139:Z139"/>
    <mergeCell ref="G136:I136"/>
    <mergeCell ref="N136:P136"/>
    <mergeCell ref="U136:W136"/>
    <mergeCell ref="AB136:AD136"/>
    <mergeCell ref="F7:AO7"/>
    <mergeCell ref="A138:E140"/>
    <mergeCell ref="F140:AO140"/>
    <mergeCell ref="A128:E128"/>
    <mergeCell ref="A8:E9"/>
    <mergeCell ref="H8:I8"/>
    <mergeCell ref="O8:P8"/>
    <mergeCell ref="V8:W8"/>
    <mergeCell ref="AC8:AD8"/>
    <mergeCell ref="AJ8:AK8"/>
    <mergeCell ref="G9:I9"/>
    <mergeCell ref="N9:P9"/>
    <mergeCell ref="U9:W9"/>
    <mergeCell ref="AB9:AD9"/>
    <mergeCell ref="AI9:AK9"/>
    <mergeCell ref="A137:E137"/>
    <mergeCell ref="O138:P138"/>
    <mergeCell ref="F93:AO95"/>
    <mergeCell ref="F96:AO96"/>
    <mergeCell ref="F101:AO102"/>
    <mergeCell ref="F112:AO112"/>
    <mergeCell ref="AC88:AD88"/>
    <mergeCell ref="AJ88:AK88"/>
    <mergeCell ref="G89:I89"/>
    <mergeCell ref="AQ8:AR8"/>
    <mergeCell ref="AQ7:AR7"/>
    <mergeCell ref="AQ14:AR14"/>
    <mergeCell ref="AQ16:AR16"/>
    <mergeCell ref="AQ20:AR20"/>
    <mergeCell ref="AQ25:AR25"/>
    <mergeCell ref="AM14:AN14"/>
    <mergeCell ref="AM15:AN15"/>
    <mergeCell ref="AM16:AN16"/>
    <mergeCell ref="AM17:AN17"/>
    <mergeCell ref="F10:AO12"/>
    <mergeCell ref="H14:AK14"/>
    <mergeCell ref="G15:AK15"/>
    <mergeCell ref="F13:AO13"/>
    <mergeCell ref="F18:AO19"/>
    <mergeCell ref="H22:I22"/>
    <mergeCell ref="O22:P22"/>
    <mergeCell ref="V22:W22"/>
    <mergeCell ref="AC22:AD22"/>
    <mergeCell ref="AJ22:AK22"/>
    <mergeCell ref="G23:I23"/>
    <mergeCell ref="N23:P23"/>
    <mergeCell ref="U23:W23"/>
    <mergeCell ref="AM25:AN25"/>
    <mergeCell ref="AQ129:AR129"/>
    <mergeCell ref="AQ133:AR133"/>
    <mergeCell ref="AQ103:AR103"/>
    <mergeCell ref="AQ30:AR30"/>
    <mergeCell ref="AQ113:AR113"/>
    <mergeCell ref="AQ78:AR78"/>
    <mergeCell ref="AQ88:AR88"/>
    <mergeCell ref="AQ72:AR72"/>
    <mergeCell ref="AQ74:AR74"/>
    <mergeCell ref="AQ83:AR83"/>
    <mergeCell ref="AQ97:AR97"/>
    <mergeCell ref="AQ99:AR99"/>
    <mergeCell ref="AQ108:AR108"/>
    <mergeCell ref="AQ122:AR122"/>
    <mergeCell ref="AQ39:AR39"/>
    <mergeCell ref="AQ52:AR52"/>
    <mergeCell ref="AQ54:AR54"/>
    <mergeCell ref="AQ63:AR63"/>
    <mergeCell ref="AQ58:AR58"/>
    <mergeCell ref="AQ43:AR43"/>
    <mergeCell ref="AQ130:AR130"/>
  </mergeCells>
  <conditionalFormatting sqref="G27 G25">
    <cfRule type="cellIs" dxfId="89" priority="116" operator="equal">
      <formula>"✗"</formula>
    </cfRule>
    <cfRule type="cellIs" dxfId="88" priority="117" operator="equal">
      <formula>"✓"</formula>
    </cfRule>
  </conditionalFormatting>
  <conditionalFormatting sqref="G27 G25">
    <cfRule type="cellIs" dxfId="87" priority="115" operator="equal">
      <formula>"||"</formula>
    </cfRule>
  </conditionalFormatting>
  <conditionalFormatting sqref="AI27 AB27 U27 N27 AI25 AB25 U25 N25">
    <cfRule type="cellIs" dxfId="86" priority="113" operator="equal">
      <formula>"✗"</formula>
    </cfRule>
    <cfRule type="cellIs" dxfId="85" priority="114" operator="equal">
      <formula>"✓"</formula>
    </cfRule>
  </conditionalFormatting>
  <conditionalFormatting sqref="AI27 AB27 U27 N27 AI25 AB25 U25 N25">
    <cfRule type="cellIs" dxfId="84" priority="112" operator="equal">
      <formula>"||"</formula>
    </cfRule>
  </conditionalFormatting>
  <conditionalFormatting sqref="G131 G115 G105 G103 G90 G80 G78 G60 G58 G45 G43 G32 G22 G20 G113 G88 G30">
    <cfRule type="cellIs" dxfId="83" priority="110" operator="equal">
      <formula>"✗"</formula>
    </cfRule>
    <cfRule type="cellIs" dxfId="82" priority="111" operator="equal">
      <formula>"✓"</formula>
    </cfRule>
  </conditionalFormatting>
  <conditionalFormatting sqref="G131 G115 G105 G103 G90 G80 G78 G60 G58 G45 G43 G32 G22 G20 G113 G88 G30">
    <cfRule type="cellIs" dxfId="81" priority="109" operator="equal">
      <formula>"||"</formula>
    </cfRule>
  </conditionalFormatting>
  <conditionalFormatting sqref="AI131 AB131 U131 N131 AI115 AB115 U115 N115 AI105 AB105 U105 N105 AI103 AB103 U103 N103 AI90 AB90 U90 N90 AI80 AB80 U80 N80 AI78 AB78 U78 N78 AI60 AB60 U60 N60 AI58 AB58 U58 N58 AI45 AB45 U45 N45 AI43 AB43 U43 N43 AI32 AB32 U32 N32 AI22 AB22 U22 N22 AI20 AB20 U20 N20 AI88 AB88 U88 N88 AI30 AB30 U30 N30">
    <cfRule type="cellIs" dxfId="80" priority="107" operator="equal">
      <formula>"✗"</formula>
    </cfRule>
    <cfRule type="cellIs" dxfId="79" priority="108" operator="equal">
      <formula>"✓"</formula>
    </cfRule>
  </conditionalFormatting>
  <conditionalFormatting sqref="AI131 AB131 U131 N131 AI115 AB115 U115 N115 AI105 AB105 U105 N105 AI103 AB103 U103 N103 AI90 AB90 U90 N90 AI80 AB80 U80 N80 AI78 AB78 U78 N78 AI60 AB60 U60 N60 AI58 AB58 U58 N58 AI45 AB45 U45 N45 AI43 AB43 U43 N43 AI32 AB32 U32 N32 AI22 AB22 U22 N22 AI20 AB20 U20 N20 AI88 AB88 U88 N88 AI30 AB30 U30 N30">
    <cfRule type="cellIs" dxfId="78" priority="106" operator="equal">
      <formula>"||"</formula>
    </cfRule>
  </conditionalFormatting>
  <conditionalFormatting sqref="G110 G108 G85 G83 G65 G63">
    <cfRule type="cellIs" dxfId="77" priority="98" operator="equal">
      <formula>"✗"</formula>
    </cfRule>
    <cfRule type="cellIs" dxfId="76" priority="99" operator="equal">
      <formula>"✓"</formula>
    </cfRule>
  </conditionalFormatting>
  <conditionalFormatting sqref="G110 G108 G85 G83 G65 G63">
    <cfRule type="cellIs" dxfId="75" priority="97" operator="equal">
      <formula>"||"</formula>
    </cfRule>
  </conditionalFormatting>
  <conditionalFormatting sqref="AI110 AB110 U110 N110 AI108 AB108 U108 N108 AI85 AB85 U85 N85 AI83 AB83 U83 N83 AI65 AB65 U65 N65 AI63 AB63 U63 N63">
    <cfRule type="cellIs" dxfId="74" priority="95" operator="equal">
      <formula>"✗"</formula>
    </cfRule>
    <cfRule type="cellIs" dxfId="73" priority="96" operator="equal">
      <formula>"✓"</formula>
    </cfRule>
  </conditionalFormatting>
  <conditionalFormatting sqref="AI110 AB110 U110 N110 AI108 AB108 U108 N108 AI85 AB85 U85 N85 AI83 AB83 U83 N83 AI65 AB65 U65 N65 AI63 AB63 U63 N63">
    <cfRule type="cellIs" dxfId="72" priority="94" operator="equal">
      <formula>"||"</formula>
    </cfRule>
  </conditionalFormatting>
  <conditionalFormatting sqref="G124 G122">
    <cfRule type="cellIs" dxfId="71" priority="92" operator="equal">
      <formula>"✗"</formula>
    </cfRule>
    <cfRule type="cellIs" dxfId="70" priority="93" operator="equal">
      <formula>"✓"</formula>
    </cfRule>
  </conditionalFormatting>
  <conditionalFormatting sqref="G124 G122">
    <cfRule type="cellIs" dxfId="69" priority="91" operator="equal">
      <formula>"||"</formula>
    </cfRule>
  </conditionalFormatting>
  <conditionalFormatting sqref="AI124 AB124 U124 N124 AI122 AB122 U122 N122">
    <cfRule type="cellIs" dxfId="68" priority="89" operator="equal">
      <formula>"✗"</formula>
    </cfRule>
    <cfRule type="cellIs" dxfId="67" priority="90" operator="equal">
      <formula>"✓"</formula>
    </cfRule>
  </conditionalFormatting>
  <conditionalFormatting sqref="AI124 AB124 U124 N124 AI122 AB122 U122 N122">
    <cfRule type="cellIs" dxfId="66" priority="88" operator="equal">
      <formula>"||"</formula>
    </cfRule>
  </conditionalFormatting>
  <conditionalFormatting sqref="G129">
    <cfRule type="cellIs" dxfId="65" priority="86" operator="equal">
      <formula>"✗"</formula>
    </cfRule>
    <cfRule type="cellIs" dxfId="64" priority="87" operator="equal">
      <formula>"✓"</formula>
    </cfRule>
  </conditionalFormatting>
  <conditionalFormatting sqref="G129">
    <cfRule type="cellIs" dxfId="63" priority="85" operator="equal">
      <formula>"||"</formula>
    </cfRule>
  </conditionalFormatting>
  <conditionalFormatting sqref="AI129 AB129 U129 N129">
    <cfRule type="cellIs" dxfId="62" priority="83" operator="equal">
      <formula>"✗"</formula>
    </cfRule>
    <cfRule type="cellIs" dxfId="61" priority="84" operator="equal">
      <formula>"✓"</formula>
    </cfRule>
  </conditionalFormatting>
  <conditionalFormatting sqref="AI129 AB129 U129 N129">
    <cfRule type="cellIs" dxfId="60" priority="82" operator="equal">
      <formula>"||"</formula>
    </cfRule>
  </conditionalFormatting>
  <conditionalFormatting sqref="G16">
    <cfRule type="cellIs" dxfId="59" priority="74" operator="equal">
      <formula>"✗"</formula>
    </cfRule>
    <cfRule type="cellIs" dxfId="58" priority="75" operator="equal">
      <formula>"✓"</formula>
    </cfRule>
  </conditionalFormatting>
  <conditionalFormatting sqref="G16">
    <cfRule type="cellIs" dxfId="57" priority="73" operator="equal">
      <formula>"||"</formula>
    </cfRule>
  </conditionalFormatting>
  <conditionalFormatting sqref="G14">
    <cfRule type="cellIs" dxfId="56" priority="68" operator="equal">
      <formula>"✗"</formula>
    </cfRule>
    <cfRule type="cellIs" dxfId="55" priority="69" operator="equal">
      <formula>"✓"</formula>
    </cfRule>
  </conditionalFormatting>
  <conditionalFormatting sqref="G14">
    <cfRule type="cellIs" dxfId="54" priority="67" operator="equal">
      <formula>"||"</formula>
    </cfRule>
  </conditionalFormatting>
  <conditionalFormatting sqref="G39">
    <cfRule type="cellIs" dxfId="53" priority="65" operator="equal">
      <formula>"✗"</formula>
    </cfRule>
    <cfRule type="cellIs" dxfId="52" priority="66" operator="equal">
      <formula>"✓"</formula>
    </cfRule>
  </conditionalFormatting>
  <conditionalFormatting sqref="G39">
    <cfRule type="cellIs" dxfId="51" priority="64" operator="equal">
      <formula>"||"</formula>
    </cfRule>
  </conditionalFormatting>
  <conditionalFormatting sqref="G54">
    <cfRule type="cellIs" dxfId="50" priority="59" operator="equal">
      <formula>"✗"</formula>
    </cfRule>
    <cfRule type="cellIs" dxfId="49" priority="60" operator="equal">
      <formula>"✓"</formula>
    </cfRule>
  </conditionalFormatting>
  <conditionalFormatting sqref="G54">
    <cfRule type="cellIs" dxfId="48" priority="58" operator="equal">
      <formula>"||"</formula>
    </cfRule>
  </conditionalFormatting>
  <conditionalFormatting sqref="G52">
    <cfRule type="cellIs" dxfId="47" priority="56" operator="equal">
      <formula>"✗"</formula>
    </cfRule>
    <cfRule type="cellIs" dxfId="46" priority="57" operator="equal">
      <formula>"✓"</formula>
    </cfRule>
  </conditionalFormatting>
  <conditionalFormatting sqref="G52">
    <cfRule type="cellIs" dxfId="45" priority="55" operator="equal">
      <formula>"||"</formula>
    </cfRule>
  </conditionalFormatting>
  <conditionalFormatting sqref="G74">
    <cfRule type="cellIs" dxfId="44" priority="53" operator="equal">
      <formula>"✗"</formula>
    </cfRule>
    <cfRule type="cellIs" dxfId="43" priority="54" operator="equal">
      <formula>"✓"</formula>
    </cfRule>
  </conditionalFormatting>
  <conditionalFormatting sqref="G74">
    <cfRule type="cellIs" dxfId="42" priority="52" operator="equal">
      <formula>"||"</formula>
    </cfRule>
  </conditionalFormatting>
  <conditionalFormatting sqref="G72">
    <cfRule type="cellIs" dxfId="41" priority="50" operator="equal">
      <formula>"✗"</formula>
    </cfRule>
    <cfRule type="cellIs" dxfId="40" priority="51" operator="equal">
      <formula>"✓"</formula>
    </cfRule>
  </conditionalFormatting>
  <conditionalFormatting sqref="G72">
    <cfRule type="cellIs" dxfId="39" priority="49" operator="equal">
      <formula>"||"</formula>
    </cfRule>
  </conditionalFormatting>
  <conditionalFormatting sqref="G99">
    <cfRule type="cellIs" dxfId="38" priority="47" operator="equal">
      <formula>"✗"</formula>
    </cfRule>
    <cfRule type="cellIs" dxfId="37" priority="48" operator="equal">
      <formula>"✓"</formula>
    </cfRule>
  </conditionalFormatting>
  <conditionalFormatting sqref="G99">
    <cfRule type="cellIs" dxfId="36" priority="46" operator="equal">
      <formula>"||"</formula>
    </cfRule>
  </conditionalFormatting>
  <conditionalFormatting sqref="G97">
    <cfRule type="cellIs" dxfId="35" priority="44" operator="equal">
      <formula>"✗"</formula>
    </cfRule>
    <cfRule type="cellIs" dxfId="34" priority="45" operator="equal">
      <formula>"✓"</formula>
    </cfRule>
  </conditionalFormatting>
  <conditionalFormatting sqref="G97">
    <cfRule type="cellIs" dxfId="33" priority="43" operator="equal">
      <formula>"||"</formula>
    </cfRule>
  </conditionalFormatting>
  <conditionalFormatting sqref="AI113 AB113 U113 N113">
    <cfRule type="cellIs" dxfId="32" priority="38" operator="equal">
      <formula>"✗"</formula>
    </cfRule>
    <cfRule type="cellIs" dxfId="31" priority="39" operator="equal">
      <formula>"✓"</formula>
    </cfRule>
  </conditionalFormatting>
  <conditionalFormatting sqref="AI113 AB113 U113 N113">
    <cfRule type="cellIs" dxfId="30" priority="37" operator="equal">
      <formula>"||"</formula>
    </cfRule>
  </conditionalFormatting>
  <conditionalFormatting sqref="G133">
    <cfRule type="cellIs" dxfId="29" priority="32" operator="equal">
      <formula>"✗"</formula>
    </cfRule>
    <cfRule type="cellIs" dxfId="28" priority="33" operator="equal">
      <formula>"✓"</formula>
    </cfRule>
  </conditionalFormatting>
  <conditionalFormatting sqref="G133">
    <cfRule type="cellIs" dxfId="27" priority="31" operator="equal">
      <formula>"||"</formula>
    </cfRule>
  </conditionalFormatting>
  <conditionalFormatting sqref="AI133 AB133 U133 N133">
    <cfRule type="cellIs" dxfId="26" priority="29" operator="equal">
      <formula>"✗"</formula>
    </cfRule>
    <cfRule type="cellIs" dxfId="25" priority="30" operator="equal">
      <formula>"✓"</formula>
    </cfRule>
  </conditionalFormatting>
  <conditionalFormatting sqref="AI133 AB133 U133 N133">
    <cfRule type="cellIs" dxfId="24" priority="28" operator="equal">
      <formula>"||"</formula>
    </cfRule>
  </conditionalFormatting>
  <conditionalFormatting sqref="G135">
    <cfRule type="cellIs" dxfId="23" priority="26" operator="equal">
      <formula>"✗"</formula>
    </cfRule>
    <cfRule type="cellIs" dxfId="22" priority="27" operator="equal">
      <formula>"✓"</formula>
    </cfRule>
  </conditionalFormatting>
  <conditionalFormatting sqref="G135">
    <cfRule type="cellIs" dxfId="21" priority="25" operator="equal">
      <formula>"||"</formula>
    </cfRule>
  </conditionalFormatting>
  <conditionalFormatting sqref="AI135 AB135 U135 N135">
    <cfRule type="cellIs" dxfId="20" priority="23" operator="equal">
      <formula>"✗"</formula>
    </cfRule>
    <cfRule type="cellIs" dxfId="19" priority="24" operator="equal">
      <formula>"✓"</formula>
    </cfRule>
  </conditionalFormatting>
  <conditionalFormatting sqref="AI135 AB135 U135 N135">
    <cfRule type="cellIs" dxfId="18" priority="22" operator="equal">
      <formula>"||"</formula>
    </cfRule>
  </conditionalFormatting>
  <conditionalFormatting sqref="G138">
    <cfRule type="cellIs" dxfId="17" priority="20" operator="equal">
      <formula>"✗"</formula>
    </cfRule>
    <cfRule type="cellIs" dxfId="16" priority="21" operator="equal">
      <formula>"✓"</formula>
    </cfRule>
  </conditionalFormatting>
  <conditionalFormatting sqref="G138">
    <cfRule type="cellIs" dxfId="15" priority="19" operator="equal">
      <formula>"||"</formula>
    </cfRule>
  </conditionalFormatting>
  <conditionalFormatting sqref="N138">
    <cfRule type="cellIs" dxfId="14" priority="17" operator="equal">
      <formula>"✗"</formula>
    </cfRule>
    <cfRule type="cellIs" dxfId="13" priority="18" operator="equal">
      <formula>"✓"</formula>
    </cfRule>
  </conditionalFormatting>
  <conditionalFormatting sqref="N138">
    <cfRule type="cellIs" dxfId="12" priority="16" operator="equal">
      <formula>"||"</formula>
    </cfRule>
  </conditionalFormatting>
  <conditionalFormatting sqref="G8">
    <cfRule type="cellIs" dxfId="11" priority="11" operator="equal">
      <formula>"✗"</formula>
    </cfRule>
    <cfRule type="cellIs" dxfId="10" priority="12" operator="equal">
      <formula>"✓"</formula>
    </cfRule>
  </conditionalFormatting>
  <conditionalFormatting sqref="G8">
    <cfRule type="cellIs" dxfId="9" priority="10" operator="equal">
      <formula>"||"</formula>
    </cfRule>
  </conditionalFormatting>
  <conditionalFormatting sqref="AI8 AB8 U8 N8">
    <cfRule type="cellIs" dxfId="8" priority="8" operator="equal">
      <formula>"✗"</formula>
    </cfRule>
    <cfRule type="cellIs" dxfId="7" priority="9" operator="equal">
      <formula>"✓"</formula>
    </cfRule>
  </conditionalFormatting>
  <conditionalFormatting sqref="AI8 AB8 U8 N8">
    <cfRule type="cellIs" dxfId="6" priority="7" operator="equal">
      <formula>"||"</formula>
    </cfRule>
  </conditionalFormatting>
  <conditionalFormatting sqref="U138">
    <cfRule type="cellIs" dxfId="5" priority="5" operator="equal">
      <formula>"✗"</formula>
    </cfRule>
    <cfRule type="cellIs" dxfId="4" priority="6" operator="equal">
      <formula>"✓"</formula>
    </cfRule>
  </conditionalFormatting>
  <conditionalFormatting sqref="U138">
    <cfRule type="cellIs" dxfId="3" priority="4" operator="equal">
      <formula>"||"</formula>
    </cfRule>
  </conditionalFormatting>
  <conditionalFormatting sqref="AI138 AB138">
    <cfRule type="cellIs" dxfId="2" priority="2" operator="equal">
      <formula>"✗"</formula>
    </cfRule>
    <cfRule type="cellIs" dxfId="1" priority="3" operator="equal">
      <formula>"✓"</formula>
    </cfRule>
  </conditionalFormatting>
  <conditionalFormatting sqref="AI138 AB138">
    <cfRule type="cellIs" dxfId="0" priority="1" operator="equal">
      <formula>"||"</formula>
    </cfRule>
  </conditionalFormatting>
  <dataValidations count="3">
    <dataValidation type="whole" allowBlank="1" showInputMessage="1" showErrorMessage="1" errorTitle="NOTE!" error="Enter year number only (starting from 2017)" promptTitle="Year" prompt="Enter year number!" sqref="H1" xr:uid="{B68666CD-6716-43E6-9ABA-8E8273F620A5}">
      <formula1>2017</formula1>
      <formula2>3000</formula2>
    </dataValidation>
    <dataValidation type="whole" allowBlank="1" showInputMessage="1" showErrorMessage="1" errorTitle="NOTE!" error="Enter valid week number only!" promptTitle="Week" prompt="Enter week number!" sqref="O1" xr:uid="{3201275E-CC66-457A-96BB-02D1B8672636}">
      <formula1>1</formula1>
      <formula2>54</formula2>
    </dataValidation>
    <dataValidation type="list" allowBlank="1" showInputMessage="1" showErrorMessage="1" sqref="N122 U122 AB122 AI122 G16 G129 N129 U129 AB129 AI129 G25 N25 U25 AB25 AI25 G27 N27 U27 AB27 AI27 G20 N20 U20 AB20 AI20 G22 N22 U22 AB22 AI22 G88 N88 U88 AB88 AI88 G32 N32 U32 AB32 AI32 G43 N43 U43 AB43 AI43 G45 N45 U45 AB45 AI45 G58 N58 U58 AB58 AI58 G60 N60 U60 AB60 AI60 G99 G30 N30 U30 AB30 G78 N78 U78 AB78 AI78 G80 N80 U80 AB80 AI80 G83 N83 U83 G97 AI113 G90 N90 U90 AB90 AI90 G103 N103 U103 AB103 AI103 G105 N105 U105 AB105 AI105 G115 G113 N113 U113 AB113 AI30 N115 U115 AB115 AI115 G131 N131 U131 AB131 AI131 G122 U110 AB110 AI110 G124 G14 N124 U124 AB124 AI124 AB83 G108 N108 U108 AB108 AI108 G110 N110 G39 G63 N63 U63 AB63 AI63 G65 N65 U65 AB65 AI65 AI83 G85 N85 U85 AB85 AI85 G72 G74 G54 G52 G133 N133 U133 AB133 AI133 G135 N135 U135 AB135 AI135 N138 G138 G8 N8 U8 AB8 AI8 U138 AB138 AI138" xr:uid="{01EBDB99-AC27-4F52-8757-0F2FCA83E51A}">
      <formula1>"✓,✗,||"</formula1>
    </dataValidation>
  </dataValidations>
  <hyperlinks>
    <hyperlink ref="A1" r:id="rId1" display="C:\Users\S2921F\:x:\r\sites\TRUMiFIDSFTRCB\_layouts\15\Doc.aspx?sourcedoc={986405E6-E840-498B-83E5-0A3CABCD23F3}&amp;file=Workplan - Trade Reporting Unit II.xlsm&amp;action=default&amp;mobileredirect=true" xr:uid="{87EEE428-B844-44EE-805C-D5F97549C3FD}"/>
    <hyperlink ref="K5:L5" r:id="rId2" display="Countable items" xr:uid="{28162618-9CA4-40B8-8015-ED7A6C766AB7}"/>
    <hyperlink ref="R5:S5" r:id="rId3" display="Countable items" xr:uid="{ECF4E12E-6FD0-42A7-81A9-052CFD54312E}"/>
    <hyperlink ref="Y5:Z5" r:id="rId4" display="Countable items" xr:uid="{AEFF3B95-5FF1-4A3E-837A-F5817851B373}"/>
    <hyperlink ref="AF5:AG5" r:id="rId5" display="Countable items" xr:uid="{5E20009D-39EE-48BE-9DC7-E16E5A78DE0A}"/>
    <hyperlink ref="AM5:AN5" r:id="rId6" display="Countable items" xr:uid="{587F2A36-CC5A-43F7-92D7-6168665ECC64}"/>
  </hyperlinks>
  <pageMargins left="0.7" right="0.7" top="0.75" bottom="0.75" header="0.3" footer="0.3"/>
  <pageSetup paperSize="9" scale="20"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Export_PDF.Export_PDF">
                <anchor moveWithCells="1" sizeWithCells="1">
                  <from>
                    <xdr:col>41</xdr:col>
                    <xdr:colOff>60960</xdr:colOff>
                    <xdr:row>0</xdr:row>
                    <xdr:rowOff>114300</xdr:rowOff>
                  </from>
                  <to>
                    <xdr:col>44</xdr:col>
                    <xdr:colOff>76200</xdr:colOff>
                    <xdr:row>3</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1B789-9DFE-4424-ABE5-68AF3825E90B}">
          <x14:formula1>
            <xm:f>Sheet1!$A$1:$A$4</xm:f>
          </x14:formula1>
          <xm:sqref>N21:P21 AI28:AK28 N23:P23 U21:W21 AB21:AD21 U23:W23 AB23:AD23 AI21:AK21 G33:I33 N31:P31 N33:P33 U31:W31 U33:W33 AB31:AD31 AB33:AD33 AI31:AK31 G46:I46 N44:P44 U44:W44 N46:P46 U46:W46 AB44:AD44 AB46:AD46 AI44:AK44 G61:I61 N61:P61 U61:W61 AB61:AD61 N59:P59 U59:W59 AB59:AD59 AI59:AK59 N81:P81 U79:W79 U81:W81 AB79:AD79 AB81:AD81 AI79:AK79 AI81:AK81 AI84:AK84 AB89:AD89 N91:P91 U91:W91 U89:W89 AI91:AK91 G89:I89 N89:P89 AB91:AD91 N106:P106 U106:W106 AB106:AD106 AI106:AK106 G104:I104 N104:P104 U104:W104 AB104:AD104 N116:P116 U116:W116 AB116:AD116 AI116:AK116 G114:I114 N114:P114 U114:W114 AB114:AD114 G132:I132 N132:P132 U132:W132 AB132:AD132 AB130:AD130 G28:I28 N28:P28 U28:W28 AB26:AD26 N26:P26 U26:W26 AI26:AK26 AB28:AD28 N64:P64 G66:I66 N66:P66 U66:W66 AB66:AD66 U64:W64 AB64:AD64 AI64:AK64 N86:P86 U86:W86 AB86:AD86 AI86:AK86 G84:I84 N84:P84 U84:W84 G73:AK73 N111:P111 U111:W111 AB111:AD111 AI111:AK111 G109:I109 N109:P109 U109:W109 G98:AK98 N125:P125 U125:W125 AB125:AD125 AI125:AK125 AB123:AD123 U123:W123 N123:P123 G123:I123 G130:I130 N130:P130 U130:W130 N136:P136 X137:Z137 AE137:AG137 AI136:AK136 G134:I134 N134:P134 U134:W134 AB134:AD134 AB9:AD9 G9:I9 N9:P9 U9:W9 G23:I23 G17:AK17 G40:AK40 AI134:AK134 G55:AK55 G15:AK15 G75:AK75 AI66:AK66 G100:AK100 AI104:AK104 AI9:AK9 G21:I21 AI23:AK23 G31:I31 AI33:AK33 G44:I44 AI46:AK46 G59:I59 G81:I81 N79:P79 G91:I91 AB84:AD84 G106:I106 AI89:AK89 G116:I116 AI109:AK109 G26:I26 AI61:AK61 G64:I64 G86:I86 G79:I79 G111:I111 AI114:AK114 G125:I125 AB109:AD109 AI123:AK123 AI130:AK130 J137:L137 AI132:AK132 G136:I137 U136:W137 AB136:AD137 G53:AK53 AM137:AN137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6729737E4831F44A212DF25B07DA4D1" ma:contentTypeVersion="17" ma:contentTypeDescription="Create a new document." ma:contentTypeScope="" ma:versionID="0af74df7b1dcc1346adea8089ff881e0">
  <xsd:schema xmlns:xsd="http://www.w3.org/2001/XMLSchema" xmlns:xs="http://www.w3.org/2001/XMLSchema" xmlns:p="http://schemas.microsoft.com/office/2006/metadata/properties" xmlns:ns2="3395c719-5b62-4f32-b5f6-c7fc8bc2cb92" xmlns:ns3="dc5f0696-4099-4f7b-b1cf-4ed20b34a011" targetNamespace="http://schemas.microsoft.com/office/2006/metadata/properties" ma:root="true" ma:fieldsID="54a4e60d7fa9bd0c64c41bfb7dbf7d79" ns2:_="" ns3:_="">
    <xsd:import namespace="3395c719-5b62-4f32-b5f6-c7fc8bc2cb92"/>
    <xsd:import namespace="dc5f0696-4099-4f7b-b1cf-4ed20b34a01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95c719-5b62-4f32-b5f6-c7fc8bc2cb9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842e5b02-5042-4e7b-a84d-ddf4dc109890}" ma:internalName="TaxCatchAll" ma:showField="CatchAllData" ma:web="3395c719-5b62-4f32-b5f6-c7fc8bc2cb9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5f0696-4099-4f7b-b1cf-4ed20b34a01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4579bc1-3e83-4f18-9ff0-8ad18fa2038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B30A3B-A09F-47FC-98A5-58931112C833}"/>
</file>

<file path=customXml/itemProps2.xml><?xml version="1.0" encoding="utf-8"?>
<ds:datastoreItem xmlns:ds="http://schemas.openxmlformats.org/officeDocument/2006/customXml" ds:itemID="{CD8A9199-F40A-433C-892C-8C567B3CCE9A}"/>
</file>

<file path=docMetadata/LabelInfo.xml><?xml version="1.0" encoding="utf-8"?>
<clbl:labelList xmlns:clbl="http://schemas.microsoft.com/office/2020/mipLabelMetadata">
  <clbl:label id="{fd873446-2530-497e-8874-95622ddd5de1}" enabled="1" method="Privileged" siteId="{9a8ff9e3-0e35-4620-a724-e9834dc50b51}"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Vashisht, Sushant</dc:creator>
  <cp:keywords/>
  <dc:description/>
  <cp:lastModifiedBy/>
  <cp:revision/>
  <dcterms:created xsi:type="dcterms:W3CDTF">2024-02-22T11:50:55Z</dcterms:created>
  <dcterms:modified xsi:type="dcterms:W3CDTF">2025-09-01T04:21:12Z</dcterms:modified>
  <cp:category/>
  <cp:contentStatus/>
</cp:coreProperties>
</file>